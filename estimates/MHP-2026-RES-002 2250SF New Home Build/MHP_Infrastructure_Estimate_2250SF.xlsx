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rastructure Estimate" sheetId="1" state="visible" r:id="rId3"/>
  </sheets>
  <definedNames>
    <definedName function="false" hidden="false" localSheetId="0" name="_xlnm.Print_Titles" vbProcedure="false">'Infrastructure Estimate'!$10:$10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<sst xmlns="http://schemas.openxmlformats.org/spreadsheetml/2006/main" count="183" uniqueCount="125">
  <si>
    <t xml:space="preserve">NORTH MS HOME PROS — INFRASTRUCTURE ESTIMATE</t>
  </si>
  <si>
    <t xml:space="preserve">2,250 SF New Home Build — Site &amp; Utility Contract (Separate from Building)</t>
  </si>
  <si>
    <t xml:space="preserve">Project:</t>
  </si>
  <si>
    <t xml:space="preserve">2250 SF New Home Build</t>
  </si>
  <si>
    <t xml:space="preserve">Category:</t>
  </si>
  <si>
    <t xml:space="preserve">INFRASTRUCTURE (separate contract)</t>
  </si>
  <si>
    <t xml:space="preserve">Client:</t>
  </si>
  <si>
    <t xml:space="preserve">[Client Name]</t>
  </si>
  <si>
    <t xml:space="preserve">Date:</t>
  </si>
  <si>
    <t xml:space="preserve">March 10, 2026</t>
  </si>
  <si>
    <t xml:space="preserve">Address:</t>
  </si>
  <si>
    <t xml:space="preserve">[Project Address], MS</t>
  </si>
  <si>
    <t xml:space="preserve">Valid Through:</t>
  </si>
  <si>
    <t xml:space="preserve">April 10, 2026</t>
  </si>
  <si>
    <t xml:space="preserve">#</t>
  </si>
  <si>
    <t xml:space="preserve">Description</t>
  </si>
  <si>
    <t xml:space="preserve">Qty</t>
  </si>
  <si>
    <t xml:space="preserve">Unit</t>
  </si>
  <si>
    <t xml:space="preserve">Material $
(Actual)</t>
  </si>
  <si>
    <t xml:space="preserve">Labor $
(Actual)</t>
  </si>
  <si>
    <t xml:space="preserve">Retail $/Unit
(Client)</t>
  </si>
  <si>
    <t xml:space="preserve">Retail Extended
(Client)</t>
  </si>
  <si>
    <t xml:space="preserve">Actual $/Unit
(Internal)</t>
  </si>
  <si>
    <t xml:space="preserve">Actual Extended
(Internal)</t>
  </si>
  <si>
    <t xml:space="preserve">Markup %</t>
  </si>
  <si>
    <t xml:space="preserve">⬆ INTERNAL ONLY — NOT ON CLIENT DOCS ⬆</t>
  </si>
  <si>
    <t xml:space="preserve">⬆ INTERNAL ONLY ⬆</t>
  </si>
  <si>
    <t xml:space="preserve">GENERAL CONDITIONS / PRE-CONSTRUCTION</t>
  </si>
  <si>
    <t xml:space="preserve">General Conditions (8 weeks)</t>
  </si>
  <si>
    <t xml:space="preserve">lot</t>
  </si>
  <si>
    <t xml:space="preserve">Project Coordination / Supervision</t>
  </si>
  <si>
    <t xml:space="preserve">Engineering / Site Survey</t>
  </si>
  <si>
    <t xml:space="preserve">Soil Testing / Perc Test</t>
  </si>
  <si>
    <t xml:space="preserve">Erosion Control (silt fence, inlet protection)</t>
  </si>
  <si>
    <t xml:space="preserve">Building Permits (infrastructure)</t>
  </si>
  <si>
    <t xml:space="preserve">Portable Sanitary Facilities (8 weeks)</t>
  </si>
  <si>
    <t xml:space="preserve">month</t>
  </si>
  <si>
    <t xml:space="preserve">SUBTOTAL — GENERAL CONDITIONS / PRE-CONSTRUCTION</t>
  </si>
  <si>
    <t xml:space="preserve">LAND SETUP</t>
  </si>
  <si>
    <t xml:space="preserve">Land Clearing — trees, brush, stumps (1 acre)</t>
  </si>
  <si>
    <t xml:space="preserve">acre</t>
  </si>
  <si>
    <t xml:space="preserve">Stump Grinding / Removal</t>
  </si>
  <si>
    <t xml:space="preserve">Grading / Rough Earthwork — house pad &amp; yard</t>
  </si>
  <si>
    <t xml:space="preserve">Fill Dirt — delivered &amp; compacted</t>
  </si>
  <si>
    <t xml:space="preserve">cu yd</t>
  </si>
  <si>
    <t xml:space="preserve">Fine Grading — final pad prep for slab</t>
  </si>
  <si>
    <t xml:space="preserve">Topsoil — respread after construction (yard areas)</t>
  </si>
  <si>
    <t xml:space="preserve">Erosion Control Maintenance (duration of project)</t>
  </si>
  <si>
    <t xml:space="preserve">SUBTOTAL — LAND SETUP</t>
  </si>
  <si>
    <t xml:space="preserve">DRIVEWAY &amp; ACCESS</t>
  </si>
  <si>
    <t xml:space="preserve">Driveway — gravel base (75 ft × 12 ft, 6" depth)</t>
  </si>
  <si>
    <t xml:space="preserve">ton</t>
  </si>
  <si>
    <t xml:space="preserve">Driveway — concrete (75 ft × 12 ft × 4")</t>
  </si>
  <si>
    <t xml:space="preserve">Driveway Forming &amp; Reinforcement (wire mesh, rebar)</t>
  </si>
  <si>
    <t xml:space="preserve">sq ft</t>
  </si>
  <si>
    <t xml:space="preserve">Concrete Pump Truck (driveway pour)</t>
  </si>
  <si>
    <t xml:space="preserve">each</t>
  </si>
  <si>
    <t xml:space="preserve">Concrete Finishing / Broom Finish</t>
  </si>
  <si>
    <t xml:space="preserve">Culvert Pipe (24" HDPE, road crossing)</t>
  </si>
  <si>
    <t xml:space="preserve">lin ft</t>
  </si>
  <si>
    <t xml:space="preserve">SUBTOTAL — DRIVEWAY &amp; ACCESS</t>
  </si>
  <si>
    <t xml:space="preserve">WELL</t>
  </si>
  <si>
    <t xml:space="preserve">Well Drilling — 150 ft depth (6" bore)</t>
  </si>
  <si>
    <t xml:space="preserve">Well Casing — 6" PVC, 150 ft</t>
  </si>
  <si>
    <t xml:space="preserve">Well Screen &amp; Gravel Pack</t>
  </si>
  <si>
    <t xml:space="preserve">Submersible Well Pump — 1 HP (Grundfos/Franklin)</t>
  </si>
  <si>
    <t xml:space="preserve">Pressure Tank — 80 gallon (Flexcon)</t>
  </si>
  <si>
    <t xml:space="preserve">Well Pump Wire &amp; Controls</t>
  </si>
  <si>
    <t xml:space="preserve">Pitless Adapter</t>
  </si>
  <si>
    <t xml:space="preserve">Well Head Completion &amp; Sanitization</t>
  </si>
  <si>
    <t xml:space="preserve">Water Line — well to house (1" poly, 75 ft trench)</t>
  </si>
  <si>
    <t xml:space="preserve">Pressure Switch, Gauge &amp; Check Valve</t>
  </si>
  <si>
    <t xml:space="preserve">SUBTOTAL — WELL</t>
  </si>
  <si>
    <t xml:space="preserve">SEPTIC SYSTEM</t>
  </si>
  <si>
    <t xml:space="preserve">Septic System Design &amp; Permit</t>
  </si>
  <si>
    <t xml:space="preserve">Septic Tank — 1,000 gallon precast concrete</t>
  </si>
  <si>
    <t xml:space="preserve">Distribution Box</t>
  </si>
  <si>
    <t xml:space="preserve">Drain Field Pipe — 4" perforated (300 lin ft)</t>
  </si>
  <si>
    <t xml:space="preserve">Drain Field Gravel / Aggregate (40 tons)</t>
  </si>
  <si>
    <t xml:space="preserve">Drain Field Fabric / Filter</t>
  </si>
  <si>
    <t xml:space="preserve">Septic Excavation &amp; Installation Labor</t>
  </si>
  <si>
    <t xml:space="preserve">Sewer Line — house to septic (4" PVC, 50 ft)</t>
  </si>
  <si>
    <t xml:space="preserve">Septic System Inspection &amp; Certification</t>
  </si>
  <si>
    <t xml:space="preserve">Septic Risers &amp; Lids (2)</t>
  </si>
  <si>
    <t xml:space="preserve">SUBTOTAL — SEPTIC SYSTEM</t>
  </si>
  <si>
    <t xml:space="preserve">UNDERGROUND PLUMBING</t>
  </si>
  <si>
    <t xml:space="preserve">Water Service — meter to house (1" copper, 100 ft trench)</t>
  </si>
  <si>
    <t xml:space="preserve">Underground Drain Lines (house stub-outs to sewer line)</t>
  </si>
  <si>
    <t xml:space="preserve">Backflow Preventer (irrigation tap)</t>
  </si>
  <si>
    <t xml:space="preserve">Hose Bibb Rough-in (exterior, 3 locations)</t>
  </si>
  <si>
    <t xml:space="preserve">Gas Line — underground (LP from tank to house, 80 ft)</t>
  </si>
  <si>
    <t xml:space="preserve">LP Gas Tank Pad &amp; Set (500 gallon above-ground)</t>
  </si>
  <si>
    <t xml:space="preserve">SUBTOTAL — UNDERGROUND PLUMBING</t>
  </si>
  <si>
    <t xml:space="preserve">ELECTRICAL SERVICE</t>
  </si>
  <si>
    <t xml:space="preserve">Temporary Power Pole &amp; Meter (construction phase)</t>
  </si>
  <si>
    <t xml:space="preserve">Electrical Service — utility to meter base (200A, 100 ft)</t>
  </si>
  <si>
    <t xml:space="preserve">Meter Base &amp; Disconnect (200A, outdoor rated)</t>
  </si>
  <si>
    <t xml:space="preserve">Underground Conduit &amp; Wire — meter to panel (2" PVC, 50 ft)</t>
  </si>
  <si>
    <t xml:space="preserve">Electrical Trenching (200 lin ft total)</t>
  </si>
  <si>
    <t xml:space="preserve">Underground Conduit — low voltage (phone, cable, fiber)</t>
  </si>
  <si>
    <t xml:space="preserve">Grounding System (ground rods, bonding)</t>
  </si>
  <si>
    <t xml:space="preserve">SUBTOTAL — ELECTRICAL SERVICE</t>
  </si>
  <si>
    <t xml:space="preserve">STORMWATER &amp; DRAINAGE</t>
  </si>
  <si>
    <t xml:space="preserve">French Drain — perimeter (4" perf pipe, 120 ft)</t>
  </si>
  <si>
    <t xml:space="preserve">Downspout Drain Lines (underground, 6 runs × 20 ft)</t>
  </si>
  <si>
    <t xml:space="preserve">Catch Basin / Yard Drain (2 units)</t>
  </si>
  <si>
    <t xml:space="preserve">Drainage Gravel / Aggregate</t>
  </si>
  <si>
    <t xml:space="preserve">Sod / Seed — disturbed areas restoration</t>
  </si>
  <si>
    <t xml:space="preserve">SUBTOTAL — STORMWATER &amp; DRAINAGE</t>
  </si>
  <si>
    <t xml:space="preserve">WASTE MANAGEMENT</t>
  </si>
  <si>
    <t xml:space="preserve">Construction Dumpster — 30 yard (infrastructure phase)</t>
  </si>
  <si>
    <t xml:space="preserve">Final Site Cleanup — infrastructure</t>
  </si>
  <si>
    <t xml:space="preserve">SUBTOTAL — WASTE MANAGEMENT</t>
  </si>
  <si>
    <t xml:space="preserve">SUBTOTAL — ALL LINE ITEMS</t>
  </si>
  <si>
    <t xml:space="preserve">Overhead &amp; Profit (15%)</t>
  </si>
  <si>
    <t xml:space="preserve">Contingency (10%)</t>
  </si>
  <si>
    <t xml:space="preserve">Sales Tax (7%)</t>
  </si>
  <si>
    <t xml:space="preserve">INFRASTRUCTURE GRAND TOTAL</t>
  </si>
  <si>
    <t xml:space="preserve">INFRASTRUCTURE MARGIN SUMMARY</t>
  </si>
  <si>
    <t xml:space="preserve">Total Retail (Client Price):</t>
  </si>
  <si>
    <t xml:space="preserve">Total Actual Cost (Internal):</t>
  </si>
  <si>
    <t xml:space="preserve">Gross Profit:</t>
  </si>
  <si>
    <t xml:space="preserve">Gross Margin %:</t>
  </si>
  <si>
    <t xml:space="preserve">NOTE: This infrastructure contract is billed SEPARATELY from the building contract.</t>
  </si>
  <si>
    <t xml:space="preserve">Infrastructure costs are NOT included in the building $/sqft calculation.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</si>
</sst>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\$#,##0.00;&quot;($&quot;#,##0.00\);\-"/>
    <numFmt numFmtId="167" formatCode="0.0%"/>
    <numFmt numFmtId="168" formatCode="\$#,##0;&quot;($&quot;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9"/>
      <color rgb="FFC6282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C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375623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  <border diagonalUp="false" diagonalDown="false">
      <left/>
      <right/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E67E22"/>
      <rgbColor rgb="FF666666"/>
      <rgbColor rgb="FF969696"/>
      <rgbColor rgb="FF003366"/>
      <rgbColor rgb="FF339966"/>
      <rgbColor rgb="FF003300"/>
      <rgbColor rgb="FF333300"/>
      <rgbColor rgb="FFC62828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K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4" min="3" style="0" width="10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4" t="s">
        <v>3</v>
      </c>
      <c r="C3" s="4"/>
      <c r="D3" s="4"/>
      <c r="F3" s="3" t="s">
        <v>4</v>
      </c>
      <c r="G3" s="4" t="s">
        <v>5</v>
      </c>
      <c r="H3" s="4"/>
      <c r="I3" s="4"/>
    </row>
    <row r="4" customFormat="false" ht="15" hidden="false" customHeight="false" outlineLevel="0" collapsed="false">
      <c r="A4" s="3" t="s">
        <v>6</v>
      </c>
      <c r="B4" s="4" t="s">
        <v>7</v>
      </c>
      <c r="C4" s="4"/>
      <c r="D4" s="4"/>
      <c r="F4" s="3" t="s">
        <v>8</v>
      </c>
      <c r="G4" s="4" t="s">
        <v>9</v>
      </c>
      <c r="H4" s="4"/>
      <c r="I4" s="4"/>
    </row>
    <row r="5" customFormat="false" ht="15" hidden="false" customHeight="false" outlineLevel="0" collapsed="false">
      <c r="A5" s="3" t="s">
        <v>10</v>
      </c>
      <c r="B5" s="4" t="s">
        <v>11</v>
      </c>
      <c r="C5" s="4"/>
      <c r="D5" s="4"/>
      <c r="F5" s="3" t="s">
        <v>12</v>
      </c>
      <c r="G5" s="4" t="s">
        <v>13</v>
      </c>
      <c r="H5" s="4"/>
      <c r="I5" s="4"/>
    </row>
    <row r="6" customFormat="false" ht="15" hidden="false" customHeight="false" outlineLevel="0" collapsed="false">
      <c r="A6" s="3" t="s">
        <v>4</v>
      </c>
      <c r="B6" s="4" t="s">
        <v>5</v>
      </c>
      <c r="C6" s="4"/>
      <c r="D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</row>
    <row r="8" customFormat="false" ht="15" hidden="false" customHeight="false" outlineLevel="0" collapsed="false">
      <c r="A8" s="3" t="s">
        <v>12</v>
      </c>
      <c r="B8" s="4" t="s">
        <v>13</v>
      </c>
      <c r="C8" s="4"/>
      <c r="D8" s="4"/>
    </row>
    <row r="10" customFormat="false" ht="36" hidden="false" customHeight="true" outlineLevel="0" collapsed="false">
      <c r="A10" s="5" t="s">
        <v>14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  <c r="I10" s="5" t="s">
        <v>22</v>
      </c>
      <c r="J10" s="5" t="s">
        <v>23</v>
      </c>
      <c r="K10" s="5" t="s">
        <v>24</v>
      </c>
    </row>
    <row r="11" customFormat="false" ht="15" hidden="false" customHeight="false" outlineLevel="0" collapsed="false">
      <c r="E11" s="6" t="s">
        <v>25</v>
      </c>
      <c r="F11" s="6"/>
      <c r="I11" s="6" t="s">
        <v>26</v>
      </c>
      <c r="J11" s="6"/>
    </row>
    <row r="12" customFormat="false" ht="15" hidden="false" customHeight="false" outlineLevel="0" collapsed="false">
      <c r="A12" s="7"/>
      <c r="B12" s="8" t="s">
        <v>27</v>
      </c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0" collapsed="false">
      <c r="A13" s="9" t="n">
        <v>1</v>
      </c>
      <c r="B13" s="10" t="s">
        <v>28</v>
      </c>
      <c r="C13" s="11" t="n">
        <v>1</v>
      </c>
      <c r="D13" s="9" t="s">
        <v>29</v>
      </c>
      <c r="E13" s="12" t="n">
        <v>1200</v>
      </c>
      <c r="F13" s="12" t="n">
        <v>0</v>
      </c>
      <c r="G13" s="12" t="n">
        <v>2400</v>
      </c>
      <c r="H13" s="13" t="n">
        <f aca="false">C13*G13</f>
        <v>2400</v>
      </c>
      <c r="I13" s="13" t="n">
        <f aca="false">E13+F13</f>
        <v>1200</v>
      </c>
      <c r="J13" s="13" t="n">
        <f aca="false">C13*I13</f>
        <v>1200</v>
      </c>
      <c r="K13" s="14" t="n">
        <f aca="false">IF(I13=0,"-",(G13-I13)/I13)</f>
        <v>1</v>
      </c>
    </row>
    <row r="14" customFormat="false" ht="15" hidden="false" customHeight="false" outlineLevel="0" collapsed="false">
      <c r="A14" s="9" t="n">
        <v>2</v>
      </c>
      <c r="B14" s="10" t="s">
        <v>30</v>
      </c>
      <c r="C14" s="11" t="n">
        <v>1</v>
      </c>
      <c r="D14" s="9" t="s">
        <v>29</v>
      </c>
      <c r="E14" s="12" t="n">
        <v>0</v>
      </c>
      <c r="F14" s="12" t="n">
        <v>3500</v>
      </c>
      <c r="G14" s="12" t="n">
        <v>5500</v>
      </c>
      <c r="H14" s="13" t="n">
        <f aca="false">C14*G14</f>
        <v>5500</v>
      </c>
      <c r="I14" s="13" t="n">
        <f aca="false">E14+F14</f>
        <v>3500</v>
      </c>
      <c r="J14" s="13" t="n">
        <f aca="false">C14*I14</f>
        <v>3500</v>
      </c>
      <c r="K14" s="14" t="n">
        <f aca="false">IF(I14=0,"-",(G14-I14)/I14)</f>
        <v>0.571428571428571</v>
      </c>
    </row>
    <row r="15" customFormat="false" ht="15" hidden="false" customHeight="false" outlineLevel="0" collapsed="false">
      <c r="A15" s="9" t="n">
        <v>3</v>
      </c>
      <c r="B15" s="10" t="s">
        <v>31</v>
      </c>
      <c r="C15" s="11" t="n">
        <v>1</v>
      </c>
      <c r="D15" s="9" t="s">
        <v>29</v>
      </c>
      <c r="E15" s="12" t="n">
        <v>2800</v>
      </c>
      <c r="F15" s="12" t="n">
        <v>0</v>
      </c>
      <c r="G15" s="12" t="n">
        <v>3500</v>
      </c>
      <c r="H15" s="13" t="n">
        <f aca="false">C15*G15</f>
        <v>3500</v>
      </c>
      <c r="I15" s="13" t="n">
        <f aca="false">E15+F15</f>
        <v>2800</v>
      </c>
      <c r="J15" s="13" t="n">
        <f aca="false">C15*I15</f>
        <v>2800</v>
      </c>
      <c r="K15" s="14" t="n">
        <f aca="false">IF(I15=0,"-",(G15-I15)/I15)</f>
        <v>0.25</v>
      </c>
    </row>
    <row r="16" customFormat="false" ht="15" hidden="false" customHeight="false" outlineLevel="0" collapsed="false">
      <c r="A16" s="9" t="n">
        <v>4</v>
      </c>
      <c r="B16" s="10" t="s">
        <v>32</v>
      </c>
      <c r="C16" s="11" t="n">
        <v>1</v>
      </c>
      <c r="D16" s="9" t="s">
        <v>29</v>
      </c>
      <c r="E16" s="12" t="n">
        <v>800</v>
      </c>
      <c r="F16" s="12" t="n">
        <v>0</v>
      </c>
      <c r="G16" s="12" t="n">
        <v>1200</v>
      </c>
      <c r="H16" s="13" t="n">
        <f aca="false">C16*G16</f>
        <v>1200</v>
      </c>
      <c r="I16" s="13" t="n">
        <f aca="false">E16+F16</f>
        <v>800</v>
      </c>
      <c r="J16" s="13" t="n">
        <f aca="false">C16*I16</f>
        <v>800</v>
      </c>
      <c r="K16" s="14" t="n">
        <f aca="false">IF(I16=0,"-",(G16-I16)/I16)</f>
        <v>0.5</v>
      </c>
    </row>
    <row r="17" customFormat="false" ht="15" hidden="false" customHeight="false" outlineLevel="0" collapsed="false">
      <c r="A17" s="9" t="n">
        <v>5</v>
      </c>
      <c r="B17" s="10" t="s">
        <v>33</v>
      </c>
      <c r="C17" s="11" t="n">
        <v>1</v>
      </c>
      <c r="D17" s="9" t="s">
        <v>29</v>
      </c>
      <c r="E17" s="12" t="n">
        <v>650</v>
      </c>
      <c r="F17" s="12" t="n">
        <v>400</v>
      </c>
      <c r="G17" s="12" t="n">
        <v>1600</v>
      </c>
      <c r="H17" s="13" t="n">
        <f aca="false">C17*G17</f>
        <v>1600</v>
      </c>
      <c r="I17" s="13" t="n">
        <f aca="false">E17+F17</f>
        <v>1050</v>
      </c>
      <c r="J17" s="13" t="n">
        <f aca="false">C17*I17</f>
        <v>1050</v>
      </c>
      <c r="K17" s="14" t="n">
        <f aca="false">IF(I17=0,"-",(G17-I17)/I17)</f>
        <v>0.523809523809524</v>
      </c>
    </row>
    <row r="18" customFormat="false" ht="15" hidden="false" customHeight="false" outlineLevel="0" collapsed="false">
      <c r="A18" s="9" t="n">
        <v>6</v>
      </c>
      <c r="B18" s="10" t="s">
        <v>34</v>
      </c>
      <c r="C18" s="11" t="n">
        <v>1</v>
      </c>
      <c r="D18" s="9" t="s">
        <v>29</v>
      </c>
      <c r="E18" s="12" t="n">
        <v>1800</v>
      </c>
      <c r="F18" s="12" t="n">
        <v>0</v>
      </c>
      <c r="G18" s="12" t="n">
        <v>1800</v>
      </c>
      <c r="H18" s="13" t="n">
        <f aca="false">C18*G18</f>
        <v>1800</v>
      </c>
      <c r="I18" s="13" t="n">
        <f aca="false">E18+F18</f>
        <v>1800</v>
      </c>
      <c r="J18" s="13" t="n">
        <f aca="false">C18*I18</f>
        <v>1800</v>
      </c>
      <c r="K18" s="14" t="n">
        <f aca="false">IF(I18=0,"-",(G18-I18)/I18)</f>
        <v>0</v>
      </c>
    </row>
    <row r="19" customFormat="false" ht="15" hidden="false" customHeight="false" outlineLevel="0" collapsed="false">
      <c r="A19" s="9" t="n">
        <v>7</v>
      </c>
      <c r="B19" s="10" t="s">
        <v>35</v>
      </c>
      <c r="C19" s="11" t="n">
        <v>2</v>
      </c>
      <c r="D19" s="9" t="s">
        <v>36</v>
      </c>
      <c r="E19" s="12" t="n">
        <v>175</v>
      </c>
      <c r="F19" s="12" t="n">
        <v>0</v>
      </c>
      <c r="G19" s="12" t="n">
        <v>250</v>
      </c>
      <c r="H19" s="13" t="n">
        <f aca="false">C19*G19</f>
        <v>500</v>
      </c>
      <c r="I19" s="13" t="n">
        <f aca="false">E19+F19</f>
        <v>175</v>
      </c>
      <c r="J19" s="13" t="n">
        <f aca="false">C19*I19</f>
        <v>350</v>
      </c>
      <c r="K19" s="14" t="n">
        <f aca="false">IF(I19=0,"-",(G19-I19)/I19)</f>
        <v>0.428571428571429</v>
      </c>
    </row>
    <row r="20" customFormat="false" ht="15" hidden="false" customHeight="false" outlineLevel="0" collapsed="false">
      <c r="A20" s="15"/>
      <c r="B20" s="15" t="s">
        <v>37</v>
      </c>
      <c r="C20" s="15"/>
      <c r="D20" s="15"/>
      <c r="E20" s="15"/>
      <c r="F20" s="15"/>
      <c r="G20" s="15"/>
      <c r="H20" s="16" t="n">
        <f aca="false">SUM(H13:H19)</f>
        <v>16500</v>
      </c>
      <c r="I20" s="15"/>
      <c r="J20" s="16" t="n">
        <f aca="false">SUM(J13:J19)</f>
        <v>11500</v>
      </c>
      <c r="K20" s="15"/>
    </row>
    <row r="22" customFormat="false" ht="15" hidden="false" customHeight="false" outlineLevel="0" collapsed="false">
      <c r="A22" s="7"/>
      <c r="B22" s="8" t="s">
        <v>38</v>
      </c>
      <c r="C22" s="8"/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false" outlineLevel="0" collapsed="false">
      <c r="A23" s="9" t="n">
        <v>8</v>
      </c>
      <c r="B23" s="10" t="s">
        <v>39</v>
      </c>
      <c r="C23" s="11" t="n">
        <v>1</v>
      </c>
      <c r="D23" s="9" t="s">
        <v>40</v>
      </c>
      <c r="E23" s="12" t="n">
        <v>2800</v>
      </c>
      <c r="F23" s="12" t="n">
        <v>3200</v>
      </c>
      <c r="G23" s="12" t="n">
        <v>8500</v>
      </c>
      <c r="H23" s="13" t="n">
        <f aca="false">C23*G23</f>
        <v>8500</v>
      </c>
      <c r="I23" s="13" t="n">
        <f aca="false">E23+F23</f>
        <v>6000</v>
      </c>
      <c r="J23" s="13" t="n">
        <f aca="false">C23*I23</f>
        <v>6000</v>
      </c>
      <c r="K23" s="14" t="n">
        <f aca="false">IF(I23=0,"-",(G23-I23)/I23)</f>
        <v>0.416666666666667</v>
      </c>
    </row>
    <row r="24" customFormat="false" ht="15" hidden="false" customHeight="false" outlineLevel="0" collapsed="false">
      <c r="A24" s="9" t="n">
        <v>9</v>
      </c>
      <c r="B24" s="10" t="s">
        <v>41</v>
      </c>
      <c r="C24" s="11" t="n">
        <v>1</v>
      </c>
      <c r="D24" s="9" t="s">
        <v>29</v>
      </c>
      <c r="E24" s="12" t="n">
        <v>400</v>
      </c>
      <c r="F24" s="12" t="n">
        <v>600</v>
      </c>
      <c r="G24" s="12" t="n">
        <v>1500</v>
      </c>
      <c r="H24" s="13" t="n">
        <f aca="false">C24*G24</f>
        <v>1500</v>
      </c>
      <c r="I24" s="13" t="n">
        <f aca="false">E24+F24</f>
        <v>1000</v>
      </c>
      <c r="J24" s="13" t="n">
        <f aca="false">C24*I24</f>
        <v>1000</v>
      </c>
      <c r="K24" s="14" t="n">
        <f aca="false">IF(I24=0,"-",(G24-I24)/I24)</f>
        <v>0.5</v>
      </c>
    </row>
    <row r="25" customFormat="false" ht="15" hidden="false" customHeight="false" outlineLevel="0" collapsed="false">
      <c r="A25" s="9" t="n">
        <v>10</v>
      </c>
      <c r="B25" s="10" t="s">
        <v>42</v>
      </c>
      <c r="C25" s="11" t="n">
        <v>1</v>
      </c>
      <c r="D25" s="9" t="s">
        <v>29</v>
      </c>
      <c r="E25" s="12" t="n">
        <v>1200</v>
      </c>
      <c r="F25" s="12" t="n">
        <v>2800</v>
      </c>
      <c r="G25" s="12" t="n">
        <v>6500</v>
      </c>
      <c r="H25" s="13" t="n">
        <f aca="false">C25*G25</f>
        <v>6500</v>
      </c>
      <c r="I25" s="13" t="n">
        <f aca="false">E25+F25</f>
        <v>4000</v>
      </c>
      <c r="J25" s="13" t="n">
        <f aca="false">C25*I25</f>
        <v>4000</v>
      </c>
      <c r="K25" s="14" t="n">
        <f aca="false">IF(I25=0,"-",(G25-I25)/I25)</f>
        <v>0.625</v>
      </c>
    </row>
    <row r="26" customFormat="false" ht="15" hidden="false" customHeight="false" outlineLevel="0" collapsed="false">
      <c r="A26" s="9" t="n">
        <v>11</v>
      </c>
      <c r="B26" s="10" t="s">
        <v>43</v>
      </c>
      <c r="C26" s="11" t="n">
        <v>120</v>
      </c>
      <c r="D26" s="9" t="s">
        <v>44</v>
      </c>
      <c r="E26" s="12" t="n">
        <v>18</v>
      </c>
      <c r="F26" s="12" t="n">
        <v>8</v>
      </c>
      <c r="G26" s="12" t="n">
        <v>38</v>
      </c>
      <c r="H26" s="13" t="n">
        <f aca="false">C26*G26</f>
        <v>4560</v>
      </c>
      <c r="I26" s="13" t="n">
        <f aca="false">E26+F26</f>
        <v>26</v>
      </c>
      <c r="J26" s="13" t="n">
        <f aca="false">C26*I26</f>
        <v>3120</v>
      </c>
      <c r="K26" s="14" t="n">
        <f aca="false">IF(I26=0,"-",(G26-I26)/I26)</f>
        <v>0.461538461538462</v>
      </c>
    </row>
    <row r="27" customFormat="false" ht="15" hidden="false" customHeight="false" outlineLevel="0" collapsed="false">
      <c r="A27" s="9" t="n">
        <v>12</v>
      </c>
      <c r="B27" s="10" t="s">
        <v>45</v>
      </c>
      <c r="C27" s="11" t="n">
        <v>1</v>
      </c>
      <c r="D27" s="9" t="s">
        <v>29</v>
      </c>
      <c r="E27" s="12" t="n">
        <v>200</v>
      </c>
      <c r="F27" s="12" t="n">
        <v>1400</v>
      </c>
      <c r="G27" s="12" t="n">
        <v>2500</v>
      </c>
      <c r="H27" s="13" t="n">
        <f aca="false">C27*G27</f>
        <v>2500</v>
      </c>
      <c r="I27" s="13" t="n">
        <f aca="false">E27+F27</f>
        <v>1600</v>
      </c>
      <c r="J27" s="13" t="n">
        <f aca="false">C27*I27</f>
        <v>1600</v>
      </c>
      <c r="K27" s="14" t="n">
        <f aca="false">IF(I27=0,"-",(G27-I27)/I27)</f>
        <v>0.5625</v>
      </c>
    </row>
    <row r="28" customFormat="false" ht="15" hidden="false" customHeight="false" outlineLevel="0" collapsed="false">
      <c r="A28" s="9" t="n">
        <v>13</v>
      </c>
      <c r="B28" s="10" t="s">
        <v>46</v>
      </c>
      <c r="C28" s="11" t="n">
        <v>80</v>
      </c>
      <c r="D28" s="9" t="s">
        <v>44</v>
      </c>
      <c r="E28" s="12" t="n">
        <v>22</v>
      </c>
      <c r="F28" s="12" t="n">
        <v>6</v>
      </c>
      <c r="G28" s="12" t="n">
        <v>42</v>
      </c>
      <c r="H28" s="13" t="n">
        <f aca="false">C28*G28</f>
        <v>3360</v>
      </c>
      <c r="I28" s="13" t="n">
        <f aca="false">E28+F28</f>
        <v>28</v>
      </c>
      <c r="J28" s="13" t="n">
        <f aca="false">C28*I28</f>
        <v>2240</v>
      </c>
      <c r="K28" s="14" t="n">
        <f aca="false">IF(I28=0,"-",(G28-I28)/I28)</f>
        <v>0.5</v>
      </c>
    </row>
    <row r="29" customFormat="false" ht="15" hidden="false" customHeight="false" outlineLevel="0" collapsed="false">
      <c r="A29" s="9" t="n">
        <v>14</v>
      </c>
      <c r="B29" s="10" t="s">
        <v>47</v>
      </c>
      <c r="C29" s="11" t="n">
        <v>1</v>
      </c>
      <c r="D29" s="9" t="s">
        <v>29</v>
      </c>
      <c r="E29" s="12" t="n">
        <v>300</v>
      </c>
      <c r="F29" s="12" t="n">
        <v>400</v>
      </c>
      <c r="G29" s="12" t="n">
        <v>1000</v>
      </c>
      <c r="H29" s="13" t="n">
        <f aca="false">C29*G29</f>
        <v>1000</v>
      </c>
      <c r="I29" s="13" t="n">
        <f aca="false">E29+F29</f>
        <v>700</v>
      </c>
      <c r="J29" s="13" t="n">
        <f aca="false">C29*I29</f>
        <v>700</v>
      </c>
      <c r="K29" s="14" t="n">
        <f aca="false">IF(I29=0,"-",(G29-I29)/I29)</f>
        <v>0.428571428571429</v>
      </c>
    </row>
    <row r="30" customFormat="false" ht="15" hidden="false" customHeight="false" outlineLevel="0" collapsed="false">
      <c r="A30" s="15"/>
      <c r="B30" s="15" t="s">
        <v>48</v>
      </c>
      <c r="C30" s="15"/>
      <c r="D30" s="15"/>
      <c r="E30" s="15"/>
      <c r="F30" s="15"/>
      <c r="G30" s="15"/>
      <c r="H30" s="16" t="n">
        <f aca="false">SUM(H23:H29)</f>
        <v>27920</v>
      </c>
      <c r="I30" s="15"/>
      <c r="J30" s="16" t="n">
        <f aca="false">SUM(J23:J29)</f>
        <v>18660</v>
      </c>
      <c r="K30" s="15"/>
    </row>
    <row r="32" customFormat="false" ht="15" hidden="false" customHeight="false" outlineLevel="0" collapsed="false">
      <c r="A32" s="7"/>
      <c r="B32" s="8" t="s">
        <v>49</v>
      </c>
      <c r="C32" s="8"/>
      <c r="D32" s="8"/>
      <c r="E32" s="8"/>
      <c r="F32" s="8"/>
      <c r="G32" s="8"/>
      <c r="H32" s="8"/>
      <c r="I32" s="8"/>
      <c r="J32" s="8"/>
      <c r="K32" s="8"/>
    </row>
    <row r="33" customFormat="false" ht="15" hidden="false" customHeight="false" outlineLevel="0" collapsed="false">
      <c r="A33" s="9" t="n">
        <v>15</v>
      </c>
      <c r="B33" s="10" t="s">
        <v>50</v>
      </c>
      <c r="C33" s="11" t="n">
        <v>50</v>
      </c>
      <c r="D33" s="9" t="s">
        <v>51</v>
      </c>
      <c r="E33" s="12" t="n">
        <v>28</v>
      </c>
      <c r="F33" s="12" t="n">
        <v>0</v>
      </c>
      <c r="G33" s="12" t="n">
        <v>42</v>
      </c>
      <c r="H33" s="13" t="n">
        <f aca="false">C33*G33</f>
        <v>2100</v>
      </c>
      <c r="I33" s="13" t="n">
        <f aca="false">E33+F33</f>
        <v>28</v>
      </c>
      <c r="J33" s="13" t="n">
        <f aca="false">C33*I33</f>
        <v>1400</v>
      </c>
      <c r="K33" s="14" t="n">
        <f aca="false">IF(I33=0,"-",(G33-I33)/I33)</f>
        <v>0.5</v>
      </c>
    </row>
    <row r="34" customFormat="false" ht="15" hidden="false" customHeight="false" outlineLevel="0" collapsed="false">
      <c r="A34" s="9" t="n">
        <v>16</v>
      </c>
      <c r="B34" s="10" t="s">
        <v>52</v>
      </c>
      <c r="C34" s="11" t="n">
        <v>33</v>
      </c>
      <c r="D34" s="9" t="s">
        <v>44</v>
      </c>
      <c r="E34" s="12" t="n">
        <v>145</v>
      </c>
      <c r="F34" s="12" t="n">
        <v>65</v>
      </c>
      <c r="G34" s="12" t="n">
        <v>295</v>
      </c>
      <c r="H34" s="13" t="n">
        <f aca="false">C34*G34</f>
        <v>9735</v>
      </c>
      <c r="I34" s="13" t="n">
        <f aca="false">E34+F34</f>
        <v>210</v>
      </c>
      <c r="J34" s="13" t="n">
        <f aca="false">C34*I34</f>
        <v>6930</v>
      </c>
      <c r="K34" s="14" t="n">
        <f aca="false">IF(I34=0,"-",(G34-I34)/I34)</f>
        <v>0.404761904761905</v>
      </c>
    </row>
    <row r="35" customFormat="false" ht="15" hidden="false" customHeight="false" outlineLevel="0" collapsed="false">
      <c r="A35" s="9" t="n">
        <v>17</v>
      </c>
      <c r="B35" s="10" t="s">
        <v>53</v>
      </c>
      <c r="C35" s="11" t="n">
        <v>900</v>
      </c>
      <c r="D35" s="9" t="s">
        <v>54</v>
      </c>
      <c r="E35" s="12" t="n">
        <v>0.85</v>
      </c>
      <c r="F35" s="12" t="n">
        <v>1.25</v>
      </c>
      <c r="G35" s="12" t="n">
        <v>3.25</v>
      </c>
      <c r="H35" s="13" t="n">
        <f aca="false">C35*G35</f>
        <v>2925</v>
      </c>
      <c r="I35" s="13" t="n">
        <f aca="false">E35+F35</f>
        <v>2.1</v>
      </c>
      <c r="J35" s="13" t="n">
        <f aca="false">C35*I35</f>
        <v>1890</v>
      </c>
      <c r="K35" s="14" t="n">
        <f aca="false">IF(I35=0,"-",(G35-I35)/I35)</f>
        <v>0.547619047619048</v>
      </c>
    </row>
    <row r="36" customFormat="false" ht="15" hidden="false" customHeight="false" outlineLevel="0" collapsed="false">
      <c r="A36" s="9" t="n">
        <v>18</v>
      </c>
      <c r="B36" s="10" t="s">
        <v>55</v>
      </c>
      <c r="C36" s="11" t="n">
        <v>1</v>
      </c>
      <c r="D36" s="9" t="s">
        <v>56</v>
      </c>
      <c r="E36" s="12" t="n">
        <v>1200</v>
      </c>
      <c r="F36" s="12" t="n">
        <v>0</v>
      </c>
      <c r="G36" s="12" t="n">
        <v>1500</v>
      </c>
      <c r="H36" s="13" t="n">
        <f aca="false">C36*G36</f>
        <v>1500</v>
      </c>
      <c r="I36" s="13" t="n">
        <f aca="false">E36+F36</f>
        <v>1200</v>
      </c>
      <c r="J36" s="13" t="n">
        <f aca="false">C36*I36</f>
        <v>1200</v>
      </c>
      <c r="K36" s="14" t="n">
        <f aca="false">IF(I36=0,"-",(G36-I36)/I36)</f>
        <v>0.25</v>
      </c>
    </row>
    <row r="37" customFormat="false" ht="15" hidden="false" customHeight="false" outlineLevel="0" collapsed="false">
      <c r="A37" s="9" t="n">
        <v>19</v>
      </c>
      <c r="B37" s="10" t="s">
        <v>57</v>
      </c>
      <c r="C37" s="11" t="n">
        <v>900</v>
      </c>
      <c r="D37" s="9" t="s">
        <v>54</v>
      </c>
      <c r="E37" s="12" t="n">
        <v>0</v>
      </c>
      <c r="F37" s="12" t="n">
        <v>1.5</v>
      </c>
      <c r="G37" s="12" t="n">
        <v>2.25</v>
      </c>
      <c r="H37" s="13" t="n">
        <f aca="false">C37*G37</f>
        <v>2025</v>
      </c>
      <c r="I37" s="13" t="n">
        <f aca="false">E37+F37</f>
        <v>1.5</v>
      </c>
      <c r="J37" s="13" t="n">
        <f aca="false">C37*I37</f>
        <v>1350</v>
      </c>
      <c r="K37" s="14" t="n">
        <f aca="false">IF(I37=0,"-",(G37-I37)/I37)</f>
        <v>0.5</v>
      </c>
    </row>
    <row r="38" customFormat="false" ht="15" hidden="false" customHeight="false" outlineLevel="0" collapsed="false">
      <c r="A38" s="9" t="n">
        <v>20</v>
      </c>
      <c r="B38" s="10" t="s">
        <v>58</v>
      </c>
      <c r="C38" s="11" t="n">
        <v>20</v>
      </c>
      <c r="D38" s="9" t="s">
        <v>59</v>
      </c>
      <c r="E38" s="12" t="n">
        <v>32</v>
      </c>
      <c r="F38" s="12" t="n">
        <v>18</v>
      </c>
      <c r="G38" s="12" t="n">
        <v>72</v>
      </c>
      <c r="H38" s="13" t="n">
        <f aca="false">C38*G38</f>
        <v>1440</v>
      </c>
      <c r="I38" s="13" t="n">
        <f aca="false">E38+F38</f>
        <v>50</v>
      </c>
      <c r="J38" s="13" t="n">
        <f aca="false">C38*I38</f>
        <v>1000</v>
      </c>
      <c r="K38" s="14" t="n">
        <f aca="false">IF(I38=0,"-",(G38-I38)/I38)</f>
        <v>0.44</v>
      </c>
    </row>
    <row r="39" customFormat="false" ht="15" hidden="false" customHeight="false" outlineLevel="0" collapsed="false">
      <c r="A39" s="15"/>
      <c r="B39" s="15" t="s">
        <v>60</v>
      </c>
      <c r="C39" s="15"/>
      <c r="D39" s="15"/>
      <c r="E39" s="15"/>
      <c r="F39" s="15"/>
      <c r="G39" s="15"/>
      <c r="H39" s="16" t="n">
        <f aca="false">SUM(H33:H38)</f>
        <v>19725</v>
      </c>
      <c r="I39" s="15"/>
      <c r="J39" s="16" t="n">
        <f aca="false">SUM(J33:J38)</f>
        <v>13770</v>
      </c>
      <c r="K39" s="15"/>
    </row>
    <row r="41" customFormat="false" ht="15" hidden="false" customHeight="false" outlineLevel="0" collapsed="false">
      <c r="A41" s="7"/>
      <c r="B41" s="8" t="s">
        <v>61</v>
      </c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5" hidden="false" customHeight="false" outlineLevel="0" collapsed="false">
      <c r="A42" s="9" t="n">
        <v>21</v>
      </c>
      <c r="B42" s="10" t="s">
        <v>62</v>
      </c>
      <c r="C42" s="11" t="n">
        <v>150</v>
      </c>
      <c r="D42" s="9" t="s">
        <v>59</v>
      </c>
      <c r="E42" s="12" t="n">
        <v>0</v>
      </c>
      <c r="F42" s="12" t="n">
        <v>18</v>
      </c>
      <c r="G42" s="12" t="n">
        <v>28</v>
      </c>
      <c r="H42" s="13" t="n">
        <f aca="false">C42*G42</f>
        <v>4200</v>
      </c>
      <c r="I42" s="13" t="n">
        <f aca="false">E42+F42</f>
        <v>18</v>
      </c>
      <c r="J42" s="13" t="n">
        <f aca="false">C42*I42</f>
        <v>2700</v>
      </c>
      <c r="K42" s="14" t="n">
        <f aca="false">IF(I42=0,"-",(G42-I42)/I42)</f>
        <v>0.555555555555556</v>
      </c>
    </row>
    <row r="43" customFormat="false" ht="15" hidden="false" customHeight="false" outlineLevel="0" collapsed="false">
      <c r="A43" s="9" t="n">
        <v>22</v>
      </c>
      <c r="B43" s="10" t="s">
        <v>63</v>
      </c>
      <c r="C43" s="11" t="n">
        <v>150</v>
      </c>
      <c r="D43" s="9" t="s">
        <v>59</v>
      </c>
      <c r="E43" s="12" t="n">
        <v>8.5</v>
      </c>
      <c r="F43" s="12" t="n">
        <v>0</v>
      </c>
      <c r="G43" s="12" t="n">
        <v>12</v>
      </c>
      <c r="H43" s="13" t="n">
        <f aca="false">C43*G43</f>
        <v>1800</v>
      </c>
      <c r="I43" s="13" t="n">
        <f aca="false">E43+F43</f>
        <v>8.5</v>
      </c>
      <c r="J43" s="13" t="n">
        <f aca="false">C43*I43</f>
        <v>1275</v>
      </c>
      <c r="K43" s="14" t="n">
        <f aca="false">IF(I43=0,"-",(G43-I43)/I43)</f>
        <v>0.411764705882353</v>
      </c>
    </row>
    <row r="44" customFormat="false" ht="15" hidden="false" customHeight="false" outlineLevel="0" collapsed="false">
      <c r="A44" s="9" t="n">
        <v>23</v>
      </c>
      <c r="B44" s="10" t="s">
        <v>64</v>
      </c>
      <c r="C44" s="11" t="n">
        <v>1</v>
      </c>
      <c r="D44" s="9" t="s">
        <v>29</v>
      </c>
      <c r="E44" s="12" t="n">
        <v>450</v>
      </c>
      <c r="F44" s="12" t="n">
        <v>200</v>
      </c>
      <c r="G44" s="12" t="n">
        <v>950</v>
      </c>
      <c r="H44" s="13" t="n">
        <f aca="false">C44*G44</f>
        <v>950</v>
      </c>
      <c r="I44" s="13" t="n">
        <f aca="false">E44+F44</f>
        <v>650</v>
      </c>
      <c r="J44" s="13" t="n">
        <f aca="false">C44*I44</f>
        <v>650</v>
      </c>
      <c r="K44" s="14" t="n">
        <f aca="false">IF(I44=0,"-",(G44-I44)/I44)</f>
        <v>0.461538461538462</v>
      </c>
    </row>
    <row r="45" customFormat="false" ht="15" hidden="false" customHeight="false" outlineLevel="0" collapsed="false">
      <c r="A45" s="9" t="n">
        <v>24</v>
      </c>
      <c r="B45" s="10" t="s">
        <v>65</v>
      </c>
      <c r="C45" s="11" t="n">
        <v>1</v>
      </c>
      <c r="D45" s="9" t="s">
        <v>56</v>
      </c>
      <c r="E45" s="12" t="n">
        <v>1800</v>
      </c>
      <c r="F45" s="12" t="n">
        <v>400</v>
      </c>
      <c r="G45" s="12" t="n">
        <v>3200</v>
      </c>
      <c r="H45" s="13" t="n">
        <f aca="false">C45*G45</f>
        <v>3200</v>
      </c>
      <c r="I45" s="13" t="n">
        <f aca="false">E45+F45</f>
        <v>2200</v>
      </c>
      <c r="J45" s="13" t="n">
        <f aca="false">C45*I45</f>
        <v>2200</v>
      </c>
      <c r="K45" s="14" t="n">
        <f aca="false">IF(I45=0,"-",(G45-I45)/I45)</f>
        <v>0.454545454545455</v>
      </c>
    </row>
    <row r="46" customFormat="false" ht="15" hidden="false" customHeight="false" outlineLevel="0" collapsed="false">
      <c r="A46" s="9" t="n">
        <v>25</v>
      </c>
      <c r="B46" s="10" t="s">
        <v>66</v>
      </c>
      <c r="C46" s="11" t="n">
        <v>1</v>
      </c>
      <c r="D46" s="9" t="s">
        <v>56</v>
      </c>
      <c r="E46" s="12" t="n">
        <v>850</v>
      </c>
      <c r="F46" s="12" t="n">
        <v>250</v>
      </c>
      <c r="G46" s="12" t="n">
        <v>1600</v>
      </c>
      <c r="H46" s="13" t="n">
        <f aca="false">C46*G46</f>
        <v>1600</v>
      </c>
      <c r="I46" s="13" t="n">
        <f aca="false">E46+F46</f>
        <v>1100</v>
      </c>
      <c r="J46" s="13" t="n">
        <f aca="false">C46*I46</f>
        <v>1100</v>
      </c>
      <c r="K46" s="14" t="n">
        <f aca="false">IF(I46=0,"-",(G46-I46)/I46)</f>
        <v>0.454545454545455</v>
      </c>
    </row>
    <row r="47" customFormat="false" ht="15" hidden="false" customHeight="false" outlineLevel="0" collapsed="false">
      <c r="A47" s="9" t="n">
        <v>26</v>
      </c>
      <c r="B47" s="10" t="s">
        <v>67</v>
      </c>
      <c r="C47" s="11" t="n">
        <v>1</v>
      </c>
      <c r="D47" s="9" t="s">
        <v>29</v>
      </c>
      <c r="E47" s="12" t="n">
        <v>600</v>
      </c>
      <c r="F47" s="12" t="n">
        <v>350</v>
      </c>
      <c r="G47" s="12" t="n">
        <v>1400</v>
      </c>
      <c r="H47" s="13" t="n">
        <f aca="false">C47*G47</f>
        <v>1400</v>
      </c>
      <c r="I47" s="13" t="n">
        <f aca="false">E47+F47</f>
        <v>950</v>
      </c>
      <c r="J47" s="13" t="n">
        <f aca="false">C47*I47</f>
        <v>950</v>
      </c>
      <c r="K47" s="14" t="n">
        <f aca="false">IF(I47=0,"-",(G47-I47)/I47)</f>
        <v>0.473684210526316</v>
      </c>
    </row>
    <row r="48" customFormat="false" ht="15" hidden="false" customHeight="false" outlineLevel="0" collapsed="false">
      <c r="A48" s="9" t="n">
        <v>27</v>
      </c>
      <c r="B48" s="10" t="s">
        <v>68</v>
      </c>
      <c r="C48" s="11" t="n">
        <v>1</v>
      </c>
      <c r="D48" s="9" t="s">
        <v>56</v>
      </c>
      <c r="E48" s="12" t="n">
        <v>125</v>
      </c>
      <c r="F48" s="12" t="n">
        <v>75</v>
      </c>
      <c r="G48" s="12" t="n">
        <v>300</v>
      </c>
      <c r="H48" s="13" t="n">
        <f aca="false">C48*G48</f>
        <v>300</v>
      </c>
      <c r="I48" s="13" t="n">
        <f aca="false">E48+F48</f>
        <v>200</v>
      </c>
      <c r="J48" s="13" t="n">
        <f aca="false">C48*I48</f>
        <v>200</v>
      </c>
      <c r="K48" s="14" t="n">
        <f aca="false">IF(I48=0,"-",(G48-I48)/I48)</f>
        <v>0.5</v>
      </c>
    </row>
    <row r="49" customFormat="false" ht="15" hidden="false" customHeight="false" outlineLevel="0" collapsed="false">
      <c r="A49" s="9" t="n">
        <v>28</v>
      </c>
      <c r="B49" s="10" t="s">
        <v>69</v>
      </c>
      <c r="C49" s="11" t="n">
        <v>1</v>
      </c>
      <c r="D49" s="9" t="s">
        <v>29</v>
      </c>
      <c r="E49" s="12" t="n">
        <v>150</v>
      </c>
      <c r="F49" s="12" t="n">
        <v>300</v>
      </c>
      <c r="G49" s="12" t="n">
        <v>650</v>
      </c>
      <c r="H49" s="13" t="n">
        <f aca="false">C49*G49</f>
        <v>650</v>
      </c>
      <c r="I49" s="13" t="n">
        <f aca="false">E49+F49</f>
        <v>450</v>
      </c>
      <c r="J49" s="13" t="n">
        <f aca="false">C49*I49</f>
        <v>450</v>
      </c>
      <c r="K49" s="14" t="n">
        <f aca="false">IF(I49=0,"-",(G49-I49)/I49)</f>
        <v>0.444444444444444</v>
      </c>
    </row>
    <row r="50" customFormat="false" ht="15" hidden="false" customHeight="false" outlineLevel="0" collapsed="false">
      <c r="A50" s="9" t="n">
        <v>29</v>
      </c>
      <c r="B50" s="10" t="s">
        <v>70</v>
      </c>
      <c r="C50" s="11" t="n">
        <v>75</v>
      </c>
      <c r="D50" s="9" t="s">
        <v>59</v>
      </c>
      <c r="E50" s="12" t="n">
        <v>4.5</v>
      </c>
      <c r="F50" s="12" t="n">
        <v>6</v>
      </c>
      <c r="G50" s="12" t="n">
        <v>16</v>
      </c>
      <c r="H50" s="13" t="n">
        <f aca="false">C50*G50</f>
        <v>1200</v>
      </c>
      <c r="I50" s="13" t="n">
        <f aca="false">E50+F50</f>
        <v>10.5</v>
      </c>
      <c r="J50" s="13" t="n">
        <f aca="false">C50*I50</f>
        <v>787.5</v>
      </c>
      <c r="K50" s="14" t="n">
        <f aca="false">IF(I50=0,"-",(G50-I50)/I50)</f>
        <v>0.523809523809524</v>
      </c>
    </row>
    <row r="51" customFormat="false" ht="15" hidden="false" customHeight="false" outlineLevel="0" collapsed="false">
      <c r="A51" s="9" t="n">
        <v>30</v>
      </c>
      <c r="B51" s="10" t="s">
        <v>71</v>
      </c>
      <c r="C51" s="11" t="n">
        <v>1</v>
      </c>
      <c r="D51" s="9" t="s">
        <v>29</v>
      </c>
      <c r="E51" s="12" t="n">
        <v>185</v>
      </c>
      <c r="F51" s="12" t="n">
        <v>125</v>
      </c>
      <c r="G51" s="12" t="n">
        <v>450</v>
      </c>
      <c r="H51" s="13" t="n">
        <f aca="false">C51*G51</f>
        <v>450</v>
      </c>
      <c r="I51" s="13" t="n">
        <f aca="false">E51+F51</f>
        <v>310</v>
      </c>
      <c r="J51" s="13" t="n">
        <f aca="false">C51*I51</f>
        <v>310</v>
      </c>
      <c r="K51" s="14" t="n">
        <f aca="false">IF(I51=0,"-",(G51-I51)/I51)</f>
        <v>0.451612903225806</v>
      </c>
    </row>
    <row r="52" customFormat="false" ht="15" hidden="false" customHeight="false" outlineLevel="0" collapsed="false">
      <c r="A52" s="15"/>
      <c r="B52" s="15" t="s">
        <v>72</v>
      </c>
      <c r="C52" s="15"/>
      <c r="D52" s="15"/>
      <c r="E52" s="15"/>
      <c r="F52" s="15"/>
      <c r="G52" s="15"/>
      <c r="H52" s="16" t="n">
        <f aca="false">SUM(H42:H51)</f>
        <v>15750</v>
      </c>
      <c r="I52" s="15"/>
      <c r="J52" s="16" t="n">
        <f aca="false">SUM(J42:J51)</f>
        <v>10622.5</v>
      </c>
      <c r="K52" s="15"/>
    </row>
    <row r="54" customFormat="false" ht="15" hidden="false" customHeight="false" outlineLevel="0" collapsed="false">
      <c r="A54" s="7"/>
      <c r="B54" s="8" t="s">
        <v>73</v>
      </c>
      <c r="C54" s="8"/>
      <c r="D54" s="8"/>
      <c r="E54" s="8"/>
      <c r="F54" s="8"/>
      <c r="G54" s="8"/>
      <c r="H54" s="8"/>
      <c r="I54" s="8"/>
      <c r="J54" s="8"/>
      <c r="K54" s="8"/>
    </row>
    <row r="55" customFormat="false" ht="15" hidden="false" customHeight="false" outlineLevel="0" collapsed="false">
      <c r="A55" s="9" t="n">
        <v>31</v>
      </c>
      <c r="B55" s="10" t="s">
        <v>74</v>
      </c>
      <c r="C55" s="11" t="n">
        <v>1</v>
      </c>
      <c r="D55" s="9" t="s">
        <v>29</v>
      </c>
      <c r="E55" s="12" t="n">
        <v>1500</v>
      </c>
      <c r="F55" s="12" t="n">
        <v>0</v>
      </c>
      <c r="G55" s="12" t="n">
        <v>2000</v>
      </c>
      <c r="H55" s="13" t="n">
        <f aca="false">C55*G55</f>
        <v>2000</v>
      </c>
      <c r="I55" s="13" t="n">
        <f aca="false">E55+F55</f>
        <v>1500</v>
      </c>
      <c r="J55" s="13" t="n">
        <f aca="false">C55*I55</f>
        <v>1500</v>
      </c>
      <c r="K55" s="14" t="n">
        <f aca="false">IF(I55=0,"-",(G55-I55)/I55)</f>
        <v>0.333333333333333</v>
      </c>
    </row>
    <row r="56" customFormat="false" ht="15" hidden="false" customHeight="false" outlineLevel="0" collapsed="false">
      <c r="A56" s="9" t="n">
        <v>32</v>
      </c>
      <c r="B56" s="10" t="s">
        <v>75</v>
      </c>
      <c r="C56" s="11" t="n">
        <v>1</v>
      </c>
      <c r="D56" s="9" t="s">
        <v>56</v>
      </c>
      <c r="E56" s="12" t="n">
        <v>2200</v>
      </c>
      <c r="F56" s="12" t="n">
        <v>800</v>
      </c>
      <c r="G56" s="12" t="n">
        <v>4500</v>
      </c>
      <c r="H56" s="13" t="n">
        <f aca="false">C56*G56</f>
        <v>4500</v>
      </c>
      <c r="I56" s="13" t="n">
        <f aca="false">E56+F56</f>
        <v>3000</v>
      </c>
      <c r="J56" s="13" t="n">
        <f aca="false">C56*I56</f>
        <v>3000</v>
      </c>
      <c r="K56" s="14" t="n">
        <f aca="false">IF(I56=0,"-",(G56-I56)/I56)</f>
        <v>0.5</v>
      </c>
    </row>
    <row r="57" customFormat="false" ht="15" hidden="false" customHeight="false" outlineLevel="0" collapsed="false">
      <c r="A57" s="9" t="n">
        <v>33</v>
      </c>
      <c r="B57" s="10" t="s">
        <v>76</v>
      </c>
      <c r="C57" s="11" t="n">
        <v>1</v>
      </c>
      <c r="D57" s="9" t="s">
        <v>56</v>
      </c>
      <c r="E57" s="12" t="n">
        <v>350</v>
      </c>
      <c r="F57" s="12" t="n">
        <v>150</v>
      </c>
      <c r="G57" s="12" t="n">
        <v>750</v>
      </c>
      <c r="H57" s="13" t="n">
        <f aca="false">C57*G57</f>
        <v>750</v>
      </c>
      <c r="I57" s="13" t="n">
        <f aca="false">E57+F57</f>
        <v>500</v>
      </c>
      <c r="J57" s="13" t="n">
        <f aca="false">C57*I57</f>
        <v>500</v>
      </c>
      <c r="K57" s="14" t="n">
        <f aca="false">IF(I57=0,"-",(G57-I57)/I57)</f>
        <v>0.5</v>
      </c>
    </row>
    <row r="58" customFormat="false" ht="15" hidden="false" customHeight="false" outlineLevel="0" collapsed="false">
      <c r="A58" s="9" t="n">
        <v>34</v>
      </c>
      <c r="B58" s="10" t="s">
        <v>77</v>
      </c>
      <c r="C58" s="11" t="n">
        <v>300</v>
      </c>
      <c r="D58" s="9" t="s">
        <v>59</v>
      </c>
      <c r="E58" s="12" t="n">
        <v>3.5</v>
      </c>
      <c r="F58" s="12" t="n">
        <v>2.5</v>
      </c>
      <c r="G58" s="12" t="n">
        <v>9</v>
      </c>
      <c r="H58" s="13" t="n">
        <f aca="false">C58*G58</f>
        <v>2700</v>
      </c>
      <c r="I58" s="13" t="n">
        <f aca="false">E58+F58</f>
        <v>6</v>
      </c>
      <c r="J58" s="13" t="n">
        <f aca="false">C58*I58</f>
        <v>1800</v>
      </c>
      <c r="K58" s="14" t="n">
        <f aca="false">IF(I58=0,"-",(G58-I58)/I58)</f>
        <v>0.5</v>
      </c>
    </row>
    <row r="59" customFormat="false" ht="15" hidden="false" customHeight="false" outlineLevel="0" collapsed="false">
      <c r="A59" s="9" t="n">
        <v>35</v>
      </c>
      <c r="B59" s="10" t="s">
        <v>78</v>
      </c>
      <c r="C59" s="11" t="n">
        <v>40</v>
      </c>
      <c r="D59" s="9" t="s">
        <v>51</v>
      </c>
      <c r="E59" s="12" t="n">
        <v>32</v>
      </c>
      <c r="F59" s="12" t="n">
        <v>0</v>
      </c>
      <c r="G59" s="12" t="n">
        <v>48</v>
      </c>
      <c r="H59" s="13" t="n">
        <f aca="false">C59*G59</f>
        <v>1920</v>
      </c>
      <c r="I59" s="13" t="n">
        <f aca="false">E59+F59</f>
        <v>32</v>
      </c>
      <c r="J59" s="13" t="n">
        <f aca="false">C59*I59</f>
        <v>1280</v>
      </c>
      <c r="K59" s="14" t="n">
        <f aca="false">IF(I59=0,"-",(G59-I59)/I59)</f>
        <v>0.5</v>
      </c>
    </row>
    <row r="60" customFormat="false" ht="15" hidden="false" customHeight="false" outlineLevel="0" collapsed="false">
      <c r="A60" s="9" t="n">
        <v>36</v>
      </c>
      <c r="B60" s="10" t="s">
        <v>79</v>
      </c>
      <c r="C60" s="11" t="n">
        <v>1</v>
      </c>
      <c r="D60" s="9" t="s">
        <v>29</v>
      </c>
      <c r="E60" s="12" t="n">
        <v>350</v>
      </c>
      <c r="F60" s="12" t="n">
        <v>0</v>
      </c>
      <c r="G60" s="12" t="n">
        <v>500</v>
      </c>
      <c r="H60" s="13" t="n">
        <f aca="false">C60*G60</f>
        <v>500</v>
      </c>
      <c r="I60" s="13" t="n">
        <f aca="false">E60+F60</f>
        <v>350</v>
      </c>
      <c r="J60" s="13" t="n">
        <f aca="false">C60*I60</f>
        <v>350</v>
      </c>
      <c r="K60" s="14" t="n">
        <f aca="false">IF(I60=0,"-",(G60-I60)/I60)</f>
        <v>0.428571428571429</v>
      </c>
    </row>
    <row r="61" customFormat="false" ht="15" hidden="false" customHeight="false" outlineLevel="0" collapsed="false">
      <c r="A61" s="9" t="n">
        <v>37</v>
      </c>
      <c r="B61" s="10" t="s">
        <v>80</v>
      </c>
      <c r="C61" s="11" t="n">
        <v>1</v>
      </c>
      <c r="D61" s="9" t="s">
        <v>29</v>
      </c>
      <c r="E61" s="12" t="n">
        <v>0</v>
      </c>
      <c r="F61" s="12" t="n">
        <v>4500</v>
      </c>
      <c r="G61" s="12" t="n">
        <v>6500</v>
      </c>
      <c r="H61" s="13" t="n">
        <f aca="false">C61*G61</f>
        <v>6500</v>
      </c>
      <c r="I61" s="13" t="n">
        <f aca="false">E61+F61</f>
        <v>4500</v>
      </c>
      <c r="J61" s="13" t="n">
        <f aca="false">C61*I61</f>
        <v>4500</v>
      </c>
      <c r="K61" s="14" t="n">
        <f aca="false">IF(I61=0,"-",(G61-I61)/I61)</f>
        <v>0.444444444444444</v>
      </c>
    </row>
    <row r="62" customFormat="false" ht="15" hidden="false" customHeight="false" outlineLevel="0" collapsed="false">
      <c r="A62" s="9" t="n">
        <v>38</v>
      </c>
      <c r="B62" s="10" t="s">
        <v>81</v>
      </c>
      <c r="C62" s="11" t="n">
        <v>50</v>
      </c>
      <c r="D62" s="9" t="s">
        <v>59</v>
      </c>
      <c r="E62" s="12" t="n">
        <v>6</v>
      </c>
      <c r="F62" s="12" t="n">
        <v>8</v>
      </c>
      <c r="G62" s="12" t="n">
        <v>22</v>
      </c>
      <c r="H62" s="13" t="n">
        <f aca="false">C62*G62</f>
        <v>1100</v>
      </c>
      <c r="I62" s="13" t="n">
        <f aca="false">E62+F62</f>
        <v>14</v>
      </c>
      <c r="J62" s="13" t="n">
        <f aca="false">C62*I62</f>
        <v>700</v>
      </c>
      <c r="K62" s="14" t="n">
        <f aca="false">IF(I62=0,"-",(G62-I62)/I62)</f>
        <v>0.571428571428571</v>
      </c>
    </row>
    <row r="63" customFormat="false" ht="15" hidden="false" customHeight="false" outlineLevel="0" collapsed="false">
      <c r="A63" s="9" t="n">
        <v>39</v>
      </c>
      <c r="B63" s="10" t="s">
        <v>82</v>
      </c>
      <c r="C63" s="11" t="n">
        <v>1</v>
      </c>
      <c r="D63" s="9" t="s">
        <v>29</v>
      </c>
      <c r="E63" s="12" t="n">
        <v>500</v>
      </c>
      <c r="F63" s="12" t="n">
        <v>0</v>
      </c>
      <c r="G63" s="12" t="n">
        <v>650</v>
      </c>
      <c r="H63" s="13" t="n">
        <f aca="false">C63*G63</f>
        <v>650</v>
      </c>
      <c r="I63" s="13" t="n">
        <f aca="false">E63+F63</f>
        <v>500</v>
      </c>
      <c r="J63" s="13" t="n">
        <f aca="false">C63*I63</f>
        <v>500</v>
      </c>
      <c r="K63" s="14" t="n">
        <f aca="false">IF(I63=0,"-",(G63-I63)/I63)</f>
        <v>0.3</v>
      </c>
    </row>
    <row r="64" customFormat="false" ht="15" hidden="false" customHeight="false" outlineLevel="0" collapsed="false">
      <c r="A64" s="9" t="n">
        <v>40</v>
      </c>
      <c r="B64" s="10" t="s">
        <v>83</v>
      </c>
      <c r="C64" s="11" t="n">
        <v>2</v>
      </c>
      <c r="D64" s="9" t="s">
        <v>56</v>
      </c>
      <c r="E64" s="12" t="n">
        <v>125</v>
      </c>
      <c r="F64" s="12" t="n">
        <v>75</v>
      </c>
      <c r="G64" s="12" t="n">
        <v>300</v>
      </c>
      <c r="H64" s="13" t="n">
        <f aca="false">C64*G64</f>
        <v>600</v>
      </c>
      <c r="I64" s="13" t="n">
        <f aca="false">E64+F64</f>
        <v>200</v>
      </c>
      <c r="J64" s="13" t="n">
        <f aca="false">C64*I64</f>
        <v>400</v>
      </c>
      <c r="K64" s="14" t="n">
        <f aca="false">IF(I64=0,"-",(G64-I64)/I64)</f>
        <v>0.5</v>
      </c>
    </row>
    <row r="65" customFormat="false" ht="15" hidden="false" customHeight="false" outlineLevel="0" collapsed="false">
      <c r="A65" s="15"/>
      <c r="B65" s="15" t="s">
        <v>84</v>
      </c>
      <c r="C65" s="15"/>
      <c r="D65" s="15"/>
      <c r="E65" s="15"/>
      <c r="F65" s="15"/>
      <c r="G65" s="15"/>
      <c r="H65" s="16" t="n">
        <f aca="false">SUM(H55:H64)</f>
        <v>21220</v>
      </c>
      <c r="I65" s="15"/>
      <c r="J65" s="16" t="n">
        <f aca="false">SUM(J55:J64)</f>
        <v>14530</v>
      </c>
      <c r="K65" s="15"/>
    </row>
    <row r="67" customFormat="false" ht="15" hidden="false" customHeight="false" outlineLevel="0" collapsed="false">
      <c r="A67" s="7"/>
      <c r="B67" s="8" t="s">
        <v>85</v>
      </c>
      <c r="C67" s="8"/>
      <c r="D67" s="8"/>
      <c r="E67" s="8"/>
      <c r="F67" s="8"/>
      <c r="G67" s="8"/>
      <c r="H67" s="8"/>
      <c r="I67" s="8"/>
      <c r="J67" s="8"/>
      <c r="K67" s="8"/>
    </row>
    <row r="68" customFormat="false" ht="15" hidden="false" customHeight="false" outlineLevel="0" collapsed="false">
      <c r="A68" s="9" t="n">
        <v>41</v>
      </c>
      <c r="B68" s="10" t="s">
        <v>86</v>
      </c>
      <c r="C68" s="11" t="n">
        <v>100</v>
      </c>
      <c r="D68" s="9" t="s">
        <v>59</v>
      </c>
      <c r="E68" s="12" t="n">
        <v>8</v>
      </c>
      <c r="F68" s="12" t="n">
        <v>6</v>
      </c>
      <c r="G68" s="12" t="n">
        <v>22</v>
      </c>
      <c r="H68" s="13" t="n">
        <f aca="false">C68*G68</f>
        <v>2200</v>
      </c>
      <c r="I68" s="13" t="n">
        <f aca="false">E68+F68</f>
        <v>14</v>
      </c>
      <c r="J68" s="13" t="n">
        <f aca="false">C68*I68</f>
        <v>1400</v>
      </c>
      <c r="K68" s="14" t="n">
        <f aca="false">IF(I68=0,"-",(G68-I68)/I68)</f>
        <v>0.571428571428571</v>
      </c>
    </row>
    <row r="69" customFormat="false" ht="15" hidden="false" customHeight="false" outlineLevel="0" collapsed="false">
      <c r="A69" s="9" t="n">
        <v>42</v>
      </c>
      <c r="B69" s="10" t="s">
        <v>87</v>
      </c>
      <c r="C69" s="11" t="n">
        <v>1</v>
      </c>
      <c r="D69" s="9" t="s">
        <v>29</v>
      </c>
      <c r="E69" s="12" t="n">
        <v>800</v>
      </c>
      <c r="F69" s="12" t="n">
        <v>1200</v>
      </c>
      <c r="G69" s="12" t="n">
        <v>3000</v>
      </c>
      <c r="H69" s="13" t="n">
        <f aca="false">C69*G69</f>
        <v>3000</v>
      </c>
      <c r="I69" s="13" t="n">
        <f aca="false">E69+F69</f>
        <v>2000</v>
      </c>
      <c r="J69" s="13" t="n">
        <f aca="false">C69*I69</f>
        <v>2000</v>
      </c>
      <c r="K69" s="14" t="n">
        <f aca="false">IF(I69=0,"-",(G69-I69)/I69)</f>
        <v>0.5</v>
      </c>
    </row>
    <row r="70" customFormat="false" ht="15" hidden="false" customHeight="false" outlineLevel="0" collapsed="false">
      <c r="A70" s="9" t="n">
        <v>43</v>
      </c>
      <c r="B70" s="10" t="s">
        <v>88</v>
      </c>
      <c r="C70" s="11" t="n">
        <v>1</v>
      </c>
      <c r="D70" s="9" t="s">
        <v>56</v>
      </c>
      <c r="E70" s="12" t="n">
        <v>225</v>
      </c>
      <c r="F70" s="12" t="n">
        <v>125</v>
      </c>
      <c r="G70" s="12" t="n">
        <v>500</v>
      </c>
      <c r="H70" s="13" t="n">
        <f aca="false">C70*G70</f>
        <v>500</v>
      </c>
      <c r="I70" s="13" t="n">
        <f aca="false">E70+F70</f>
        <v>350</v>
      </c>
      <c r="J70" s="13" t="n">
        <f aca="false">C70*I70</f>
        <v>350</v>
      </c>
      <c r="K70" s="14" t="n">
        <f aca="false">IF(I70=0,"-",(G70-I70)/I70)</f>
        <v>0.428571428571429</v>
      </c>
    </row>
    <row r="71" customFormat="false" ht="15" hidden="false" customHeight="false" outlineLevel="0" collapsed="false">
      <c r="A71" s="9" t="n">
        <v>44</v>
      </c>
      <c r="B71" s="10" t="s">
        <v>89</v>
      </c>
      <c r="C71" s="11" t="n">
        <v>3</v>
      </c>
      <c r="D71" s="9" t="s">
        <v>56</v>
      </c>
      <c r="E71" s="12" t="n">
        <v>45</v>
      </c>
      <c r="F71" s="12" t="n">
        <v>75</v>
      </c>
      <c r="G71" s="12" t="n">
        <v>175</v>
      </c>
      <c r="H71" s="13" t="n">
        <f aca="false">C71*G71</f>
        <v>525</v>
      </c>
      <c r="I71" s="13" t="n">
        <f aca="false">E71+F71</f>
        <v>120</v>
      </c>
      <c r="J71" s="13" t="n">
        <f aca="false">C71*I71</f>
        <v>360</v>
      </c>
      <c r="K71" s="14" t="n">
        <f aca="false">IF(I71=0,"-",(G71-I71)/I71)</f>
        <v>0.458333333333333</v>
      </c>
    </row>
    <row r="72" customFormat="false" ht="15" hidden="false" customHeight="false" outlineLevel="0" collapsed="false">
      <c r="A72" s="9" t="n">
        <v>45</v>
      </c>
      <c r="B72" s="10" t="s">
        <v>90</v>
      </c>
      <c r="C72" s="11" t="n">
        <v>80</v>
      </c>
      <c r="D72" s="9" t="s">
        <v>59</v>
      </c>
      <c r="E72" s="12" t="n">
        <v>6.5</v>
      </c>
      <c r="F72" s="12" t="n">
        <v>5</v>
      </c>
      <c r="G72" s="12" t="n">
        <v>18</v>
      </c>
      <c r="H72" s="13" t="n">
        <f aca="false">C72*G72</f>
        <v>1440</v>
      </c>
      <c r="I72" s="13" t="n">
        <f aca="false">E72+F72</f>
        <v>11.5</v>
      </c>
      <c r="J72" s="13" t="n">
        <f aca="false">C72*I72</f>
        <v>920</v>
      </c>
      <c r="K72" s="14" t="n">
        <f aca="false">IF(I72=0,"-",(G72-I72)/I72)</f>
        <v>0.565217391304348</v>
      </c>
    </row>
    <row r="73" customFormat="false" ht="15" hidden="false" customHeight="false" outlineLevel="0" collapsed="false">
      <c r="A73" s="9" t="n">
        <v>46</v>
      </c>
      <c r="B73" s="10" t="s">
        <v>91</v>
      </c>
      <c r="C73" s="11" t="n">
        <v>1</v>
      </c>
      <c r="D73" s="9" t="s">
        <v>56</v>
      </c>
      <c r="E73" s="12" t="n">
        <v>400</v>
      </c>
      <c r="F73" s="12" t="n">
        <v>350</v>
      </c>
      <c r="G73" s="12" t="n">
        <v>1100</v>
      </c>
      <c r="H73" s="13" t="n">
        <f aca="false">C73*G73</f>
        <v>1100</v>
      </c>
      <c r="I73" s="13" t="n">
        <f aca="false">E73+F73</f>
        <v>750</v>
      </c>
      <c r="J73" s="13" t="n">
        <f aca="false">C73*I73</f>
        <v>750</v>
      </c>
      <c r="K73" s="14" t="n">
        <f aca="false">IF(I73=0,"-",(G73-I73)/I73)</f>
        <v>0.466666666666667</v>
      </c>
    </row>
    <row r="74" customFormat="false" ht="15" hidden="false" customHeight="false" outlineLevel="0" collapsed="false">
      <c r="A74" s="15"/>
      <c r="B74" s="15" t="s">
        <v>92</v>
      </c>
      <c r="C74" s="15"/>
      <c r="D74" s="15"/>
      <c r="E74" s="15"/>
      <c r="F74" s="15"/>
      <c r="G74" s="15"/>
      <c r="H74" s="16" t="n">
        <f aca="false">SUM(H68:H73)</f>
        <v>8765</v>
      </c>
      <c r="I74" s="15"/>
      <c r="J74" s="16" t="n">
        <f aca="false">SUM(J68:J73)</f>
        <v>5780</v>
      </c>
      <c r="K74" s="15"/>
    </row>
    <row r="76" customFormat="false" ht="15" hidden="false" customHeight="false" outlineLevel="0" collapsed="false">
      <c r="A76" s="7"/>
      <c r="B76" s="8" t="s">
        <v>93</v>
      </c>
      <c r="C76" s="8"/>
      <c r="D76" s="8"/>
      <c r="E76" s="8"/>
      <c r="F76" s="8"/>
      <c r="G76" s="8"/>
      <c r="H76" s="8"/>
      <c r="I76" s="8"/>
      <c r="J76" s="8"/>
      <c r="K76" s="8"/>
    </row>
    <row r="77" customFormat="false" ht="15" hidden="false" customHeight="false" outlineLevel="0" collapsed="false">
      <c r="A77" s="9" t="n">
        <v>47</v>
      </c>
      <c r="B77" s="10" t="s">
        <v>94</v>
      </c>
      <c r="C77" s="11" t="n">
        <v>1</v>
      </c>
      <c r="D77" s="9" t="s">
        <v>56</v>
      </c>
      <c r="E77" s="12" t="n">
        <v>600</v>
      </c>
      <c r="F77" s="12" t="n">
        <v>400</v>
      </c>
      <c r="G77" s="12" t="n">
        <v>1500</v>
      </c>
      <c r="H77" s="13" t="n">
        <f aca="false">C77*G77</f>
        <v>1500</v>
      </c>
      <c r="I77" s="13" t="n">
        <f aca="false">E77+F77</f>
        <v>1000</v>
      </c>
      <c r="J77" s="13" t="n">
        <f aca="false">C77*I77</f>
        <v>1000</v>
      </c>
      <c r="K77" s="14" t="n">
        <f aca="false">IF(I77=0,"-",(G77-I77)/I77)</f>
        <v>0.5</v>
      </c>
    </row>
    <row r="78" customFormat="false" ht="15" hidden="false" customHeight="false" outlineLevel="0" collapsed="false">
      <c r="A78" s="9" t="n">
        <v>48</v>
      </c>
      <c r="B78" s="10" t="s">
        <v>95</v>
      </c>
      <c r="C78" s="11" t="n">
        <v>100</v>
      </c>
      <c r="D78" s="9" t="s">
        <v>59</v>
      </c>
      <c r="E78" s="12" t="n">
        <v>12</v>
      </c>
      <c r="F78" s="12" t="n">
        <v>8</v>
      </c>
      <c r="G78" s="12" t="n">
        <v>28</v>
      </c>
      <c r="H78" s="13" t="n">
        <f aca="false">C78*G78</f>
        <v>2800</v>
      </c>
      <c r="I78" s="13" t="n">
        <f aca="false">E78+F78</f>
        <v>20</v>
      </c>
      <c r="J78" s="13" t="n">
        <f aca="false">C78*I78</f>
        <v>2000</v>
      </c>
      <c r="K78" s="14" t="n">
        <f aca="false">IF(I78=0,"-",(G78-I78)/I78)</f>
        <v>0.4</v>
      </c>
    </row>
    <row r="79" customFormat="false" ht="15" hidden="false" customHeight="false" outlineLevel="0" collapsed="false">
      <c r="A79" s="9" t="n">
        <v>49</v>
      </c>
      <c r="B79" s="10" t="s">
        <v>96</v>
      </c>
      <c r="C79" s="11" t="n">
        <v>1</v>
      </c>
      <c r="D79" s="9" t="s">
        <v>56</v>
      </c>
      <c r="E79" s="12" t="n">
        <v>450</v>
      </c>
      <c r="F79" s="12" t="n">
        <v>250</v>
      </c>
      <c r="G79" s="12" t="n">
        <v>1000</v>
      </c>
      <c r="H79" s="13" t="n">
        <f aca="false">C79*G79</f>
        <v>1000</v>
      </c>
      <c r="I79" s="13" t="n">
        <f aca="false">E79+F79</f>
        <v>700</v>
      </c>
      <c r="J79" s="13" t="n">
        <f aca="false">C79*I79</f>
        <v>700</v>
      </c>
      <c r="K79" s="14" t="n">
        <f aca="false">IF(I79=0,"-",(G79-I79)/I79)</f>
        <v>0.428571428571429</v>
      </c>
    </row>
    <row r="80" customFormat="false" ht="15" hidden="false" customHeight="false" outlineLevel="0" collapsed="false">
      <c r="A80" s="9" t="n">
        <v>50</v>
      </c>
      <c r="B80" s="10" t="s">
        <v>97</v>
      </c>
      <c r="C80" s="11" t="n">
        <v>50</v>
      </c>
      <c r="D80" s="9" t="s">
        <v>59</v>
      </c>
      <c r="E80" s="12" t="n">
        <v>14</v>
      </c>
      <c r="F80" s="12" t="n">
        <v>8</v>
      </c>
      <c r="G80" s="12" t="n">
        <v>32</v>
      </c>
      <c r="H80" s="13" t="n">
        <f aca="false">C80*G80</f>
        <v>1600</v>
      </c>
      <c r="I80" s="13" t="n">
        <f aca="false">E80+F80</f>
        <v>22</v>
      </c>
      <c r="J80" s="13" t="n">
        <f aca="false">C80*I80</f>
        <v>1100</v>
      </c>
      <c r="K80" s="14" t="n">
        <f aca="false">IF(I80=0,"-",(G80-I80)/I80)</f>
        <v>0.454545454545455</v>
      </c>
    </row>
    <row r="81" customFormat="false" ht="15" hidden="false" customHeight="false" outlineLevel="0" collapsed="false">
      <c r="A81" s="9" t="n">
        <v>51</v>
      </c>
      <c r="B81" s="10" t="s">
        <v>98</v>
      </c>
      <c r="C81" s="11" t="n">
        <v>200</v>
      </c>
      <c r="D81" s="9" t="s">
        <v>59</v>
      </c>
      <c r="E81" s="12" t="n">
        <v>0</v>
      </c>
      <c r="F81" s="12" t="n">
        <v>4.5</v>
      </c>
      <c r="G81" s="12" t="n">
        <v>7</v>
      </c>
      <c r="H81" s="13" t="n">
        <f aca="false">C81*G81</f>
        <v>1400</v>
      </c>
      <c r="I81" s="13" t="n">
        <f aca="false">E81+F81</f>
        <v>4.5</v>
      </c>
      <c r="J81" s="13" t="n">
        <f aca="false">C81*I81</f>
        <v>900</v>
      </c>
      <c r="K81" s="14" t="n">
        <f aca="false">IF(I81=0,"-",(G81-I81)/I81)</f>
        <v>0.555555555555556</v>
      </c>
    </row>
    <row r="82" customFormat="false" ht="15" hidden="false" customHeight="false" outlineLevel="0" collapsed="false">
      <c r="A82" s="9" t="n">
        <v>52</v>
      </c>
      <c r="B82" s="10" t="s">
        <v>99</v>
      </c>
      <c r="C82" s="11" t="n">
        <v>100</v>
      </c>
      <c r="D82" s="9" t="s">
        <v>59</v>
      </c>
      <c r="E82" s="12" t="n">
        <v>3.5</v>
      </c>
      <c r="F82" s="12" t="n">
        <v>3</v>
      </c>
      <c r="G82" s="12" t="n">
        <v>9.5</v>
      </c>
      <c r="H82" s="13" t="n">
        <f aca="false">C82*G82</f>
        <v>950</v>
      </c>
      <c r="I82" s="13" t="n">
        <f aca="false">E82+F82</f>
        <v>6.5</v>
      </c>
      <c r="J82" s="13" t="n">
        <f aca="false">C82*I82</f>
        <v>650</v>
      </c>
      <c r="K82" s="14" t="n">
        <f aca="false">IF(I82=0,"-",(G82-I82)/I82)</f>
        <v>0.461538461538462</v>
      </c>
    </row>
    <row r="83" customFormat="false" ht="15" hidden="false" customHeight="false" outlineLevel="0" collapsed="false">
      <c r="A83" s="9" t="n">
        <v>53</v>
      </c>
      <c r="B83" s="10" t="s">
        <v>100</v>
      </c>
      <c r="C83" s="11" t="n">
        <v>1</v>
      </c>
      <c r="D83" s="9" t="s">
        <v>29</v>
      </c>
      <c r="E83" s="12" t="n">
        <v>175</v>
      </c>
      <c r="F83" s="12" t="n">
        <v>150</v>
      </c>
      <c r="G83" s="12" t="n">
        <v>500</v>
      </c>
      <c r="H83" s="13" t="n">
        <f aca="false">C83*G83</f>
        <v>500</v>
      </c>
      <c r="I83" s="13" t="n">
        <f aca="false">E83+F83</f>
        <v>325</v>
      </c>
      <c r="J83" s="13" t="n">
        <f aca="false">C83*I83</f>
        <v>325</v>
      </c>
      <c r="K83" s="14" t="n">
        <f aca="false">IF(I83=0,"-",(G83-I83)/I83)</f>
        <v>0.538461538461538</v>
      </c>
    </row>
    <row r="84" customFormat="false" ht="15" hidden="false" customHeight="false" outlineLevel="0" collapsed="false">
      <c r="A84" s="15"/>
      <c r="B84" s="15" t="s">
        <v>101</v>
      </c>
      <c r="C84" s="15"/>
      <c r="D84" s="15"/>
      <c r="E84" s="15"/>
      <c r="F84" s="15"/>
      <c r="G84" s="15"/>
      <c r="H84" s="16" t="n">
        <f aca="false">SUM(H77:H83)</f>
        <v>9750</v>
      </c>
      <c r="I84" s="15"/>
      <c r="J84" s="16" t="n">
        <f aca="false">SUM(J77:J83)</f>
        <v>6675</v>
      </c>
      <c r="K84" s="15"/>
    </row>
    <row r="86" customFormat="false" ht="15" hidden="false" customHeight="false" outlineLevel="0" collapsed="false">
      <c r="A86" s="7"/>
      <c r="B86" s="8" t="s">
        <v>102</v>
      </c>
      <c r="C86" s="8"/>
      <c r="D86" s="8"/>
      <c r="E86" s="8"/>
      <c r="F86" s="8"/>
      <c r="G86" s="8"/>
      <c r="H86" s="8"/>
      <c r="I86" s="8"/>
      <c r="J86" s="8"/>
      <c r="K86" s="8"/>
    </row>
    <row r="87" customFormat="false" ht="15" hidden="false" customHeight="false" outlineLevel="0" collapsed="false">
      <c r="A87" s="9" t="n">
        <v>54</v>
      </c>
      <c r="B87" s="10" t="s">
        <v>103</v>
      </c>
      <c r="C87" s="11" t="n">
        <v>120</v>
      </c>
      <c r="D87" s="9" t="s">
        <v>59</v>
      </c>
      <c r="E87" s="12" t="n">
        <v>6</v>
      </c>
      <c r="F87" s="12" t="n">
        <v>5</v>
      </c>
      <c r="G87" s="12" t="n">
        <v>16</v>
      </c>
      <c r="H87" s="13" t="n">
        <f aca="false">C87*G87</f>
        <v>1920</v>
      </c>
      <c r="I87" s="13" t="n">
        <f aca="false">E87+F87</f>
        <v>11</v>
      </c>
      <c r="J87" s="13" t="n">
        <f aca="false">C87*I87</f>
        <v>1320</v>
      </c>
      <c r="K87" s="14" t="n">
        <f aca="false">IF(I87=0,"-",(G87-I87)/I87)</f>
        <v>0.454545454545455</v>
      </c>
    </row>
    <row r="88" customFormat="false" ht="15" hidden="false" customHeight="false" outlineLevel="0" collapsed="false">
      <c r="A88" s="9" t="n">
        <v>55</v>
      </c>
      <c r="B88" s="10" t="s">
        <v>104</v>
      </c>
      <c r="C88" s="11" t="n">
        <v>120</v>
      </c>
      <c r="D88" s="9" t="s">
        <v>59</v>
      </c>
      <c r="E88" s="12" t="n">
        <v>3.5</v>
      </c>
      <c r="F88" s="12" t="n">
        <v>3</v>
      </c>
      <c r="G88" s="12" t="n">
        <v>10</v>
      </c>
      <c r="H88" s="13" t="n">
        <f aca="false">C88*G88</f>
        <v>1200</v>
      </c>
      <c r="I88" s="13" t="n">
        <f aca="false">E88+F88</f>
        <v>6.5</v>
      </c>
      <c r="J88" s="13" t="n">
        <f aca="false">C88*I88</f>
        <v>780</v>
      </c>
      <c r="K88" s="14" t="n">
        <f aca="false">IF(I88=0,"-",(G88-I88)/I88)</f>
        <v>0.538461538461538</v>
      </c>
    </row>
    <row r="89" customFormat="false" ht="15" hidden="false" customHeight="false" outlineLevel="0" collapsed="false">
      <c r="A89" s="9" t="n">
        <v>56</v>
      </c>
      <c r="B89" s="10" t="s">
        <v>105</v>
      </c>
      <c r="C89" s="11" t="n">
        <v>2</v>
      </c>
      <c r="D89" s="9" t="s">
        <v>56</v>
      </c>
      <c r="E89" s="12" t="n">
        <v>175</v>
      </c>
      <c r="F89" s="12" t="n">
        <v>150</v>
      </c>
      <c r="G89" s="12" t="n">
        <v>500</v>
      </c>
      <c r="H89" s="13" t="n">
        <f aca="false">C89*G89</f>
        <v>1000</v>
      </c>
      <c r="I89" s="13" t="n">
        <f aca="false">E89+F89</f>
        <v>325</v>
      </c>
      <c r="J89" s="13" t="n">
        <f aca="false">C89*I89</f>
        <v>650</v>
      </c>
      <c r="K89" s="14" t="n">
        <f aca="false">IF(I89=0,"-",(G89-I89)/I89)</f>
        <v>0.538461538461538</v>
      </c>
    </row>
    <row r="90" customFormat="false" ht="15" hidden="false" customHeight="false" outlineLevel="0" collapsed="false">
      <c r="A90" s="9" t="n">
        <v>57</v>
      </c>
      <c r="B90" s="10" t="s">
        <v>106</v>
      </c>
      <c r="C90" s="11" t="n">
        <v>15</v>
      </c>
      <c r="D90" s="9" t="s">
        <v>51</v>
      </c>
      <c r="E90" s="12" t="n">
        <v>32</v>
      </c>
      <c r="F90" s="12" t="n">
        <v>0</v>
      </c>
      <c r="G90" s="12" t="n">
        <v>48</v>
      </c>
      <c r="H90" s="13" t="n">
        <f aca="false">C90*G90</f>
        <v>720</v>
      </c>
      <c r="I90" s="13" t="n">
        <f aca="false">E90+F90</f>
        <v>32</v>
      </c>
      <c r="J90" s="13" t="n">
        <f aca="false">C90*I90</f>
        <v>480</v>
      </c>
      <c r="K90" s="14" t="n">
        <f aca="false">IF(I90=0,"-",(G90-I90)/I90)</f>
        <v>0.5</v>
      </c>
    </row>
    <row r="91" customFormat="false" ht="15" hidden="false" customHeight="false" outlineLevel="0" collapsed="false">
      <c r="A91" s="9" t="n">
        <v>58</v>
      </c>
      <c r="B91" s="10" t="s">
        <v>107</v>
      </c>
      <c r="C91" s="11" t="n">
        <v>1</v>
      </c>
      <c r="D91" s="9" t="s">
        <v>29</v>
      </c>
      <c r="E91" s="12" t="n">
        <v>1200</v>
      </c>
      <c r="F91" s="12" t="n">
        <v>800</v>
      </c>
      <c r="G91" s="12" t="n">
        <v>3000</v>
      </c>
      <c r="H91" s="13" t="n">
        <f aca="false">C91*G91</f>
        <v>3000</v>
      </c>
      <c r="I91" s="13" t="n">
        <f aca="false">E91+F91</f>
        <v>2000</v>
      </c>
      <c r="J91" s="13" t="n">
        <f aca="false">C91*I91</f>
        <v>2000</v>
      </c>
      <c r="K91" s="14" t="n">
        <f aca="false">IF(I91=0,"-",(G91-I91)/I91)</f>
        <v>0.5</v>
      </c>
    </row>
    <row r="92" customFormat="false" ht="15" hidden="false" customHeight="false" outlineLevel="0" collapsed="false">
      <c r="A92" s="15"/>
      <c r="B92" s="15" t="s">
        <v>108</v>
      </c>
      <c r="C92" s="15"/>
      <c r="D92" s="15"/>
      <c r="E92" s="15"/>
      <c r="F92" s="15"/>
      <c r="G92" s="15"/>
      <c r="H92" s="16" t="n">
        <f aca="false">SUM(H87:H91)</f>
        <v>7840</v>
      </c>
      <c r="I92" s="15"/>
      <c r="J92" s="16" t="n">
        <f aca="false">SUM(J87:J91)</f>
        <v>5230</v>
      </c>
      <c r="K92" s="15"/>
    </row>
    <row r="94" customFormat="false" ht="15" hidden="false" customHeight="false" outlineLevel="0" collapsed="false">
      <c r="A94" s="7"/>
      <c r="B94" s="8" t="s">
        <v>109</v>
      </c>
      <c r="C94" s="8"/>
      <c r="D94" s="8"/>
      <c r="E94" s="8"/>
      <c r="F94" s="8"/>
      <c r="G94" s="8"/>
      <c r="H94" s="8"/>
      <c r="I94" s="8"/>
      <c r="J94" s="8"/>
      <c r="K94" s="8"/>
    </row>
    <row r="95" customFormat="false" ht="15" hidden="false" customHeight="false" outlineLevel="0" collapsed="false">
      <c r="A95" s="9" t="n">
        <v>59</v>
      </c>
      <c r="B95" s="10" t="s">
        <v>110</v>
      </c>
      <c r="C95" s="11" t="n">
        <v>2</v>
      </c>
      <c r="D95" s="9" t="s">
        <v>56</v>
      </c>
      <c r="E95" s="12" t="n">
        <v>550</v>
      </c>
      <c r="F95" s="12" t="n">
        <v>0</v>
      </c>
      <c r="G95" s="12" t="n">
        <v>700</v>
      </c>
      <c r="H95" s="13" t="n">
        <f aca="false">C95*G95</f>
        <v>1400</v>
      </c>
      <c r="I95" s="13" t="n">
        <f aca="false">E95+F95</f>
        <v>550</v>
      </c>
      <c r="J95" s="13" t="n">
        <f aca="false">C95*I95</f>
        <v>1100</v>
      </c>
      <c r="K95" s="14" t="n">
        <f aca="false">IF(I95=0,"-",(G95-I95)/I95)</f>
        <v>0.272727272727273</v>
      </c>
    </row>
    <row r="96" customFormat="false" ht="15" hidden="false" customHeight="false" outlineLevel="0" collapsed="false">
      <c r="A96" s="9" t="n">
        <v>60</v>
      </c>
      <c r="B96" s="10" t="s">
        <v>111</v>
      </c>
      <c r="C96" s="11" t="n">
        <v>1</v>
      </c>
      <c r="D96" s="9" t="s">
        <v>29</v>
      </c>
      <c r="E96" s="12" t="n">
        <v>0</v>
      </c>
      <c r="F96" s="12" t="n">
        <v>600</v>
      </c>
      <c r="G96" s="12" t="n">
        <v>850</v>
      </c>
      <c r="H96" s="13" t="n">
        <f aca="false">C96*G96</f>
        <v>850</v>
      </c>
      <c r="I96" s="13" t="n">
        <f aca="false">E96+F96</f>
        <v>600</v>
      </c>
      <c r="J96" s="13" t="n">
        <f aca="false">C96*I96</f>
        <v>600</v>
      </c>
      <c r="K96" s="14" t="n">
        <f aca="false">IF(I96=0,"-",(G96-I96)/I96)</f>
        <v>0.416666666666667</v>
      </c>
    </row>
    <row r="97" customFormat="false" ht="15" hidden="false" customHeight="false" outlineLevel="0" collapsed="false">
      <c r="A97" s="15"/>
      <c r="B97" s="15" t="s">
        <v>112</v>
      </c>
      <c r="C97" s="15"/>
      <c r="D97" s="15"/>
      <c r="E97" s="15"/>
      <c r="F97" s="15"/>
      <c r="G97" s="15"/>
      <c r="H97" s="16" t="n">
        <f aca="false">SUM(H95:H96)</f>
        <v>2250</v>
      </c>
      <c r="I97" s="15"/>
      <c r="J97" s="16" t="n">
        <f aca="false">SUM(J95:J96)</f>
        <v>1700</v>
      </c>
      <c r="K97" s="15"/>
    </row>
    <row r="99" customFormat="false" ht="15" hidden="false" customHeight="false" outlineLevel="0" collapsed="false">
      <c r="A99" s="15"/>
      <c r="B99" s="15" t="s">
        <v>113</v>
      </c>
      <c r="C99" s="15"/>
      <c r="D99" s="15"/>
      <c r="E99" s="15"/>
      <c r="F99" s="15"/>
      <c r="G99" s="15"/>
      <c r="H99" s="16" t="n">
        <f aca="false">H20+H30+H39+H52+H65+H74+H84+H92+H97</f>
        <v>129720</v>
      </c>
      <c r="I99" s="15"/>
      <c r="J99" s="16" t="n">
        <f aca="false">J20+J30+J39+J52+J65+J74+J84+J92+J97</f>
        <v>88467.5</v>
      </c>
      <c r="K99" s="15"/>
    </row>
    <row r="100" customFormat="false" ht="15" hidden="false" customHeight="false" outlineLevel="0" collapsed="false">
      <c r="B100" s="3" t="s">
        <v>114</v>
      </c>
      <c r="H100" s="17" t="n">
        <f aca="false">H99*0.15</f>
        <v>19458</v>
      </c>
    </row>
    <row r="101" customFormat="false" ht="15" hidden="false" customHeight="false" outlineLevel="0" collapsed="false">
      <c r="B101" s="3" t="s">
        <v>115</v>
      </c>
      <c r="H101" s="17" t="n">
        <f aca="false">H99*0.1</f>
        <v>12972</v>
      </c>
    </row>
    <row r="102" customFormat="false" ht="15" hidden="false" customHeight="false" outlineLevel="0" collapsed="false">
      <c r="B102" s="3" t="s">
        <v>116</v>
      </c>
      <c r="H102" s="17" t="n">
        <f aca="false">H99*0.07</f>
        <v>9080.4</v>
      </c>
    </row>
    <row r="103" customFormat="false" ht="15" hidden="false" customHeight="false" outlineLevel="0" collapsed="false">
      <c r="A103" s="18"/>
      <c r="B103" s="18" t="s">
        <v>117</v>
      </c>
      <c r="C103" s="18"/>
      <c r="D103" s="18"/>
      <c r="E103" s="18"/>
      <c r="F103" s="18"/>
      <c r="G103" s="18"/>
      <c r="H103" s="19" t="n">
        <f aca="false">H99+H100+H101+H102</f>
        <v>171230.4</v>
      </c>
      <c r="I103" s="18"/>
      <c r="J103" s="19" t="n">
        <f aca="false">J99</f>
        <v>88467.5</v>
      </c>
      <c r="K103" s="18"/>
    </row>
    <row r="105" customFormat="false" ht="15" hidden="false" customHeight="false" outlineLevel="0" collapsed="false">
      <c r="B105" s="20" t="s">
        <v>118</v>
      </c>
    </row>
    <row r="106" customFormat="false" ht="15" hidden="false" customHeight="false" outlineLevel="0" collapsed="false">
      <c r="B106" s="3" t="s">
        <v>119</v>
      </c>
      <c r="D106" s="21" t="n">
        <f aca="false">H103</f>
        <v>171230.4</v>
      </c>
    </row>
    <row r="107" customFormat="false" ht="15" hidden="false" customHeight="false" outlineLevel="0" collapsed="false">
      <c r="B107" s="3" t="s">
        <v>120</v>
      </c>
      <c r="D107" s="22" t="n">
        <f aca="false">J103</f>
        <v>88467.5</v>
      </c>
    </row>
    <row r="108" customFormat="false" ht="15" hidden="false" customHeight="false" outlineLevel="0" collapsed="false">
      <c r="B108" s="3" t="s">
        <v>121</v>
      </c>
      <c r="D108" s="23" t="n">
        <f aca="false">H103-J103</f>
        <v>82762.9</v>
      </c>
    </row>
    <row r="109" customFormat="false" ht="15" hidden="false" customHeight="false" outlineLevel="0" collapsed="false">
      <c r="B109" s="3" t="s">
        <v>122</v>
      </c>
      <c r="D109" s="24" t="n">
        <f aca="false">(H103-J103)/H103</f>
        <v>0.483342327063419</v>
      </c>
    </row>
    <row r="111" customFormat="false" ht="15" hidden="false" customHeight="false" outlineLevel="0" collapsed="false">
      <c r="B111" s="25" t="s">
        <v>123</v>
      </c>
    </row>
    <row r="112" customFormat="false" ht="15" hidden="false" customHeight="false" outlineLevel="0" collapsed="false">
      <c r="B112" s="25" t="s">
        <v>124</v>
      </c>
    </row>
  </sheetData>
  <mergeCells count="22">
    <mergeCell ref="A1:K1"/>
    <mergeCell ref="A2:K2"/>
    <mergeCell ref="B3:D3"/>
    <mergeCell ref="G3:I3"/>
    <mergeCell ref="B4:D4"/>
    <mergeCell ref="G4:I4"/>
    <mergeCell ref="B5:D5"/>
    <mergeCell ref="G5:I5"/>
    <mergeCell ref="B6:D6"/>
    <mergeCell ref="B7:D7"/>
    <mergeCell ref="B8:D8"/>
    <mergeCell ref="E11:F11"/>
    <mergeCell ref="I11:J11"/>
    <mergeCell ref="B12:K12"/>
    <mergeCell ref="B22:K22"/>
    <mergeCell ref="B32:K32"/>
    <mergeCell ref="B41:K41"/>
    <mergeCell ref="B54:K54"/>
    <mergeCell ref="B67:K67"/>
    <mergeCell ref="B76:K76"/>
    <mergeCell ref="B86:K86"/>
    <mergeCell ref="B94:K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2026-03-10T16:45:23Z</dcterms:created>
  <dc:creator>openpyxl</dc:creator>
  <dc:description/>
  <dc:language>en-US</dc:language>
  <cp:lastModifiedBy/>
  <dcterms:modified xsi:type="dcterms:W3CDTF">2026-03-10T16:45:23Z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