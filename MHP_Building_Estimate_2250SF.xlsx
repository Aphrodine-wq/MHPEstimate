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ing Estimate" sheetId="1" state="visible" r:id="rId3"/>
  </sheets>
  <definedNames>
    <definedName function="false" hidden="false" localSheetId="0" name="_xlnm.Print_Titles" vbProcedure="false">'Building Estimate'!$11:$11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<sst xmlns="http://schemas.openxmlformats.org/spreadsheetml/2006/main" count="454" uniqueCount="287">
  <si>
    <t xml:space="preserve">NORTH MS HOME PROS — BUILDING ESTIMATE</t>
  </si>
  <si>
    <t xml:space="preserve">2,250 SF New Home Build — High End Materials — Raised Foundation (3 Block / 24" Stem Wall)</t>
  </si>
  <si>
    <t xml:space="preserve">Project:</t>
  </si>
  <si>
    <t xml:space="preserve">2250 SF New Home Build</t>
  </si>
  <si>
    <t xml:space="preserve">Category:</t>
  </si>
  <si>
    <t xml:space="preserve">BUILDING ESTIMATE</t>
  </si>
  <si>
    <t xml:space="preserve">Sq Ft:</t>
  </si>
  <si>
    <t xml:space="preserve">2,250 heated SF</t>
  </si>
  <si>
    <t xml:space="preserve">Tier:</t>
  </si>
  <si>
    <t xml:space="preserve">High End</t>
  </si>
  <si>
    <t xml:space="preserve">Foundation:</t>
  </si>
  <si>
    <t xml:space="preserve">Raised Slab — 3 Block (24" stem wall)</t>
  </si>
  <si>
    <t xml:space="preserve">Target $/SF:</t>
  </si>
  <si>
    <t xml:space="preserve">$185 – $205 / sq ft</t>
  </si>
  <si>
    <t xml:space="preserve">Roof:</t>
  </si>
  <si>
    <t xml:space="preserve">Architectural Shingles (Certainteed Landmark Pro)</t>
  </si>
  <si>
    <t xml:space="preserve">Exterior:</t>
  </si>
  <si>
    <t xml:space="preserve">Brick/Hardy Board Combo</t>
  </si>
  <si>
    <t xml:space="preserve">Bedrooms:</t>
  </si>
  <si>
    <t xml:space="preserve">4 BR / 2.5 BA</t>
  </si>
  <si>
    <t xml:space="preserve">HVAC:</t>
  </si>
  <si>
    <t xml:space="preserve">Zoned — 2 Units (Trane XR16)</t>
  </si>
  <si>
    <t xml:space="preserve">Flooring:</t>
  </si>
  <si>
    <t xml:space="preserve">Hardwood + Tile (wet areas)</t>
  </si>
  <si>
    <t xml:space="preserve">Fireplace:</t>
  </si>
  <si>
    <t xml:space="preserve">Gas — Prefab w/ Stone Surround</t>
  </si>
  <si>
    <t xml:space="preserve">Kitchen:</t>
  </si>
  <si>
    <t xml:space="preserve">Semi-Custom Cabinets, Quartz Counters</t>
  </si>
  <si>
    <t xml:space="preserve">Garage:</t>
  </si>
  <si>
    <t xml:space="preserve">Attached 2-Car</t>
  </si>
  <si>
    <t xml:space="preserve">#</t>
  </si>
  <si>
    <t xml:space="preserve">Description</t>
  </si>
  <si>
    <t xml:space="preserve">Qty</t>
  </si>
  <si>
    <t xml:space="preserve">Unit</t>
  </si>
  <si>
    <t xml:space="preserve">Material $
(Actual)</t>
  </si>
  <si>
    <t xml:space="preserve">Labor $
(Actual)</t>
  </si>
  <si>
    <t xml:space="preserve">Retail $/Unit
(Client)</t>
  </si>
  <si>
    <t xml:space="preserve">Retail Extended
(Client)</t>
  </si>
  <si>
    <t xml:space="preserve">Actual $/Unit
(Internal)</t>
  </si>
  <si>
    <t xml:space="preserve">Actual Extended
(Internal)</t>
  </si>
  <si>
    <t xml:space="preserve">Markup %</t>
  </si>
  <si>
    <t xml:space="preserve">⬆ INTERNAL ONLY — NOT ON CLIENT DOCS ⬆</t>
  </si>
  <si>
    <t xml:space="preserve">⬆ INTERNAL ONLY ⬆</t>
  </si>
  <si>
    <t xml:space="preserve">DIVISION 1 — GENERAL CONDITIONS / PRE-CONSTRUCTION</t>
  </si>
  <si>
    <t xml:space="preserve">General Conditions (20 weeks)</t>
  </si>
  <si>
    <t xml:space="preserve">lot</t>
  </si>
  <si>
    <t xml:space="preserve">Project Coordination / Supervision (20 weeks)</t>
  </si>
  <si>
    <t xml:space="preserve">each</t>
  </si>
  <si>
    <t xml:space="preserve">Architectural Plans (custom)</t>
  </si>
  <si>
    <t xml:space="preserve">Building Permits</t>
  </si>
  <si>
    <t xml:space="preserve">Engineering / Site Survey (structural + soils)</t>
  </si>
  <si>
    <t xml:space="preserve">Construction Staking</t>
  </si>
  <si>
    <t xml:space="preserve">Mobilization</t>
  </si>
  <si>
    <t xml:space="preserve">Temporary Power</t>
  </si>
  <si>
    <t xml:space="preserve">Temporary Water</t>
  </si>
  <si>
    <t xml:space="preserve">Sanitary Facilities (Port-A-Johns, 20 weeks)</t>
  </si>
  <si>
    <t xml:space="preserve">month</t>
  </si>
  <si>
    <t xml:space="preserve">Construction Insurance (builder's risk)</t>
  </si>
  <si>
    <t xml:space="preserve">Termite Pre-Treat (slab + soil)</t>
  </si>
  <si>
    <t xml:space="preserve">sq ft</t>
  </si>
  <si>
    <t xml:space="preserve">SUBTOTAL — GENERAL CONDITIONS / PRE-CONSTRUCTION</t>
  </si>
  <si>
    <t xml:space="preserve">DIVISION 2 — FOUNDATION (RAISED SLAB — 3 BLOCK)</t>
  </si>
  <si>
    <t xml:space="preserve">Excavation — footing trenches (perimeter + interior)</t>
  </si>
  <si>
    <t xml:space="preserve">lin ft</t>
  </si>
  <si>
    <t xml:space="preserve">Footing Forms — 20" × 8" continuous (perimeter)</t>
  </si>
  <si>
    <t xml:space="preserve">Footing Concrete — 3,500 PSI (perimeter + interior)</t>
  </si>
  <si>
    <t xml:space="preserve">cu yd</t>
  </si>
  <si>
    <t xml:space="preserve">Footing Reinforcement — #4 rebar (2 bars continuous)</t>
  </si>
  <si>
    <t xml:space="preserve">CMU Block — 8×8×16 (3 courses, stem wall)</t>
  </si>
  <si>
    <t xml:space="preserve">block</t>
  </si>
  <si>
    <t xml:space="preserve">Block Fill — concrete (cores, every 4th cell + corners)</t>
  </si>
  <si>
    <t xml:space="preserve">Rebar — vertical #4 (stem wall, 48" o.c.)</t>
  </si>
  <si>
    <t xml:space="preserve">Mortar &amp; Mason Sand</t>
  </si>
  <si>
    <t xml:space="preserve">Anchor Bolts — 1/2" × 10" J-bolt (48" o.c.)</t>
  </si>
  <si>
    <t xml:space="preserve">Sill Plate Gasket / Termite Shield</t>
  </si>
  <si>
    <t xml:space="preserve">Moisture Barrier — 6 mil poly (under slab)</t>
  </si>
  <si>
    <t xml:space="preserve">Gravel Base — 4" (under slab, compacted)</t>
  </si>
  <si>
    <t xml:space="preserve">Wire Mesh — 6×6 W1.4×W1.4 (slab reinforcement)</t>
  </si>
  <si>
    <t xml:space="preserve">Slab Concrete — 4" slab on grade, 3,500 PSI</t>
  </si>
  <si>
    <t xml:space="preserve">Slab Labor — pour, screed, bull float, finish</t>
  </si>
  <si>
    <t xml:space="preserve">Concrete Pump Truck (foundation pour)</t>
  </si>
  <si>
    <t xml:space="preserve">Waterproofing — foundation exterior (below grade)</t>
  </si>
  <si>
    <t xml:space="preserve">Backfill — stem wall (both sides)</t>
  </si>
  <si>
    <t xml:space="preserve">SUBTOTAL — FOUNDATION (RAISED SLAB</t>
  </si>
  <si>
    <t xml:space="preserve">DIVISION 3 — FRAMING</t>
  </si>
  <si>
    <t xml:space="preserve">Framing Lumber Package — walls, headers, plates, blocking</t>
  </si>
  <si>
    <t xml:space="preserve">Engineered Trusses — roof (8/12 pitch, 24" o.c.)</t>
  </si>
  <si>
    <t xml:space="preserve">Roof Sheathing — 7/16" OSB</t>
  </si>
  <si>
    <t xml:space="preserve">Wall Sheathing — 7/16" OSB (exterior)</t>
  </si>
  <si>
    <t xml:space="preserve">Framing Labor — walls, top-out, sheathing</t>
  </si>
  <si>
    <t xml:space="preserve">Truss Setting Labor (crane + crew)</t>
  </si>
  <si>
    <t xml:space="preserve">Garage Framing — 2-car attached (24×24)</t>
  </si>
  <si>
    <t xml:space="preserve">Covered Back Porch Framing (16×12)</t>
  </si>
  <si>
    <t xml:space="preserve">Fascia &amp; Soffit Framing / Sub-Fascia</t>
  </si>
  <si>
    <t xml:space="preserve">Metal Connectors — hurricane clips, straps, hangers</t>
  </si>
  <si>
    <t xml:space="preserve">SUBTOTAL — FRAMING</t>
  </si>
  <si>
    <t xml:space="preserve">DIVISION 4 — ROOFING</t>
  </si>
  <si>
    <t xml:space="preserve">Synthetic Underlayment (full deck)</t>
  </si>
  <si>
    <t xml:space="preserve">roll</t>
  </si>
  <si>
    <t xml:space="preserve">Ice &amp; Water Shield (valleys, eaves, penetrations)</t>
  </si>
  <si>
    <t xml:space="preserve">Drip Edge — aluminum (eaves + rakes)</t>
  </si>
  <si>
    <t xml:space="preserve">Architectural Shingles — Certainteed Landmark Pro</t>
  </si>
  <si>
    <t xml:space="preserve">bundle</t>
  </si>
  <si>
    <t xml:space="preserve">Roofing Labor — tear on (new construction)</t>
  </si>
  <si>
    <t xml:space="preserve">sq</t>
  </si>
  <si>
    <t xml:space="preserve">Ridge Vent — shingle-over (continuous)</t>
  </si>
  <si>
    <t xml:space="preserve">Step Flashing / Valley Flashing</t>
  </si>
  <si>
    <t xml:space="preserve">Pipe Boots / Penetration Flashing (6)</t>
  </si>
  <si>
    <t xml:space="preserve">Gutter — 6" K-style aluminum (seamless)</t>
  </si>
  <si>
    <t xml:space="preserve">Downspouts — 3×4" aluminum (8 runs)</t>
  </si>
  <si>
    <t xml:space="preserve">SUBTOTAL — ROOFING</t>
  </si>
  <si>
    <t xml:space="preserve">DIVISION 5 — EXTERIOR FINISHES</t>
  </si>
  <si>
    <t xml:space="preserve">Brick Veneer — full brick (front + accent walls, 1400 SF)</t>
  </si>
  <si>
    <t xml:space="preserve">Hardy Board Siding — 8.25" lap (remaining walls, 2000 SF)</t>
  </si>
  <si>
    <t xml:space="preserve">Hardy Trim — 5/4 × 4, 6, 8 (corners, bands, windows)</t>
  </si>
  <si>
    <t xml:space="preserve">House Wrap — Tyvek (full exterior)</t>
  </si>
  <si>
    <t xml:space="preserve">Exterior Paint — Sherwin Williams Duration (2 coats)</t>
  </si>
  <si>
    <t xml:space="preserve">Masonry Sand / Mortar (brick)</t>
  </si>
  <si>
    <t xml:space="preserve">Stone Veneer — water table / accent band (80 SF)</t>
  </si>
  <si>
    <t xml:space="preserve">Soffit — vented vinyl (perforated)</t>
  </si>
  <si>
    <t xml:space="preserve">Fascia — aluminum wrap</t>
  </si>
  <si>
    <t xml:space="preserve">SUBTOTAL — EXTERIOR FINISHES</t>
  </si>
  <si>
    <t xml:space="preserve">DIVISION 6 — WINDOWS &amp; EXTERIOR DOORS</t>
  </si>
  <si>
    <t xml:space="preserve">Windows — Pella 250 Series (vinyl, low-E, argon, 18 units)</t>
  </si>
  <si>
    <t xml:space="preserve">Front Entry Door — fiberglass, decorative glass (36" × 80")</t>
  </si>
  <si>
    <t xml:space="preserve">Rear Entry Door — fiberglass, full lite (36" × 80")</t>
  </si>
  <si>
    <t xml:space="preserve">Garage Side Entry Door — steel insulated (36")</t>
  </si>
  <si>
    <t xml:space="preserve">Sliding Glass Door — 6 ft, tempered low-E (patio access)</t>
  </si>
  <si>
    <t xml:space="preserve">Garage Doors — insulated steel, 9×7 (2 single bays)</t>
  </si>
  <si>
    <t xml:space="preserve">Garage Door Openers — Chamberlain belt-drive (2)</t>
  </si>
  <si>
    <t xml:space="preserve">Weather Stripping / Thresholds / Door Hardware (exterior)</t>
  </si>
  <si>
    <t xml:space="preserve">SUBTOTAL — WINDOWS &amp; EXTERIOR DOORS</t>
  </si>
  <si>
    <t xml:space="preserve">DIVISION 7 — INSULATION</t>
  </si>
  <si>
    <t xml:space="preserve">Wall Insulation — R-15 fiberglass batts (2×4 exterior walls)</t>
  </si>
  <si>
    <t xml:space="preserve">Ceiling Insulation — R-38 blown cellulose</t>
  </si>
  <si>
    <t xml:space="preserve">Floor Insulation — R-13 (cantilevers / overhangs, if any)</t>
  </si>
  <si>
    <t xml:space="preserve">Garage Insulation — R-13 walls (shared wall + ceiling)</t>
  </si>
  <si>
    <t xml:space="preserve">Foam Board — 1" XPS (slab edge, below grade)</t>
  </si>
  <si>
    <t xml:space="preserve">Air Sealing — caulk, foam, gaskets (Energy Star package)</t>
  </si>
  <si>
    <t xml:space="preserve">SUBTOTAL — INSULATION</t>
  </si>
  <si>
    <t xml:space="preserve">DIVISION 8 — DRYWALL</t>
  </si>
  <si>
    <t xml:space="preserve">Drywall — 1/2" (walls, standard rooms)</t>
  </si>
  <si>
    <t xml:space="preserve">bd ft</t>
  </si>
  <si>
    <t xml:space="preserve">Drywall — 5/8" Type X (garage ceiling, furnace closet)</t>
  </si>
  <si>
    <t xml:space="preserve">Drywall — moisture resistant (bathrooms, laundry)</t>
  </si>
  <si>
    <t xml:space="preserve">Drywall Hang Labor</t>
  </si>
  <si>
    <t xml:space="preserve">Drywall Finish — Level 4 (tape, bed, 3 coats)</t>
  </si>
  <si>
    <t xml:space="preserve">Drywall Texture — knockdown (all ceilings)</t>
  </si>
  <si>
    <t xml:space="preserve">Drywall Supplies — tape, mud, corner bead, screws</t>
  </si>
  <si>
    <t xml:space="preserve">SUBTOTAL — DRYWALL</t>
  </si>
  <si>
    <t xml:space="preserve">DIVISION 9 — INTERIOR TRIM &amp; DOORS</t>
  </si>
  <si>
    <t xml:space="preserve">Interior Doors — 6-panel solid core (13 doors)</t>
  </si>
  <si>
    <t xml:space="preserve">Interior Door Hardware — Schlage lever sets (13)</t>
  </si>
  <si>
    <t xml:space="preserve">Base Molding — 5.25" MDF primed (throughout)</t>
  </si>
  <si>
    <t xml:space="preserve">Crown Molding — 3.5" MDF (living, dining, master, foyer)</t>
  </si>
  <si>
    <t xml:space="preserve">Window Casing — 3.5" MDF (18 windows × 3 sides)</t>
  </si>
  <si>
    <t xml:space="preserve">Door Casing — 3.5" MDF (14 doors × 2 sides)</t>
  </si>
  <si>
    <t xml:space="preserve">Closet Shelving — wire (6 closets)</t>
  </si>
  <si>
    <t xml:space="preserve">Closet Shelving — custom wood (master closet)</t>
  </si>
  <si>
    <t xml:space="preserve">Stair Handrail — N/A single story</t>
  </si>
  <si>
    <t xml:space="preserve">SUBTOTAL — INTERIOR TRIM &amp; DOORS</t>
  </si>
  <si>
    <t xml:space="preserve">DIVISION 10 — CABINETS &amp; COUNTERTOPS</t>
  </si>
  <si>
    <t xml:space="preserve">Kitchen Cabinets — semi-custom, soft-close (Kraftmaid)</t>
  </si>
  <si>
    <t xml:space="preserve">Kitchen Island — 4ft × 8ft with seating overhang</t>
  </si>
  <si>
    <t xml:space="preserve">Kitchen Countertops — quartz 3cm (Cambria or Silestone, ~65 SF)</t>
  </si>
  <si>
    <t xml:space="preserve">Kitchen Backsplash — subway tile (40 SF)</t>
  </si>
  <si>
    <t xml:space="preserve">Master Bath Vanity — 60" double, furniture-style</t>
  </si>
  <si>
    <t xml:space="preserve">Master Bath Countertop — quartz 3cm (14 SF)</t>
  </si>
  <si>
    <t xml:space="preserve">Hall Bath Vanity — 36" single</t>
  </si>
  <si>
    <t xml:space="preserve">Hall Bath Countertop — quartz 3cm (6 SF)</t>
  </si>
  <si>
    <t xml:space="preserve">Half Bath Vanity — 24" pedestal-style</t>
  </si>
  <si>
    <t xml:space="preserve">Butler's Pantry — upper/lower cabinets (6 lin ft)</t>
  </si>
  <si>
    <t xml:space="preserve">Cabinet &amp; Drawer Hardware — pulls/knobs (45 pieces)</t>
  </si>
  <si>
    <t xml:space="preserve">Laundry Cabinets — upper + base (8 lin ft)</t>
  </si>
  <si>
    <t xml:space="preserve">SUBTOTAL — CABINETS &amp; COUNTERTOPS</t>
  </si>
  <si>
    <t xml:space="preserve">DIVISION 11 — FLOORING</t>
  </si>
  <si>
    <t xml:space="preserve">Hardwood — 3/4" solid oak (living, dining, halls, BRs — 1400 SF)</t>
  </si>
  <si>
    <t xml:space="preserve">Tile — porcelain 12×24 (kitchen, baths, laundry, foyer — 550 SF)</t>
  </si>
  <si>
    <t xml:space="preserve">Tile — shower walls (master + hall bath, 280 SF)</t>
  </si>
  <si>
    <t xml:space="preserve">Tile Backer Board — Hardiebacker (wet areas)</t>
  </si>
  <si>
    <t xml:space="preserve">Carpet — plush (closets, bonus area — 300 SF)</t>
  </si>
  <si>
    <t xml:space="preserve">Garage Floor — epoxy coating (576 SF)</t>
  </si>
  <si>
    <t xml:space="preserve">Transition Strips &amp; Thresholds</t>
  </si>
  <si>
    <t xml:space="preserve">Underlayment / Prep — leveling, moisture testing</t>
  </si>
  <si>
    <t xml:space="preserve">SUBTOTAL — FLOORING</t>
  </si>
  <si>
    <t xml:space="preserve">DIVISION 12 — PAINTING (INTERIOR)</t>
  </si>
  <si>
    <t xml:space="preserve">Interior Paint — Sherwin Williams Emerald (walls, 2 coats)</t>
  </si>
  <si>
    <t xml:space="preserve">Interior Paint — ceilings (flat, 1 coat primer + 1 finish)</t>
  </si>
  <si>
    <t xml:space="preserve">Interior Paint — trim, doors, casings (semi-gloss)</t>
  </si>
  <si>
    <t xml:space="preserve">Paint Prep — caulk, patch, prime</t>
  </si>
  <si>
    <t xml:space="preserve">Garage Interior Paint (walls + ceiling)</t>
  </si>
  <si>
    <t xml:space="preserve">SUBTOTAL — PAINTING (INTERIOR)</t>
  </si>
  <si>
    <t xml:space="preserve">DIVISION 13 — PLUMBING</t>
  </si>
  <si>
    <t xml:space="preserve">Plumbing Rough-In — supply &amp; DWV (4BR/2.5BA + kitchen + laundry)</t>
  </si>
  <si>
    <t xml:space="preserve">Plumbing Fixtures — Master Bath (rain shower head, hand shower, tub filler)</t>
  </si>
  <si>
    <t xml:space="preserve">Plumbing Fixtures — Hall Bath (showerhead, faucets)</t>
  </si>
  <si>
    <t xml:space="preserve">Plumbing Fixtures — Half Bath (faucet)</t>
  </si>
  <si>
    <t xml:space="preserve">Kitchen Sink — stainless undermount 33" (Kraus)</t>
  </si>
  <si>
    <t xml:space="preserve">Kitchen Faucet — pull-down (Delta Essa / Moen)</t>
  </si>
  <si>
    <t xml:space="preserve">Garbage Disposal — InSinkErator Evolution (3/4 HP)</t>
  </si>
  <si>
    <t xml:space="preserve">Water Heater — tankless (Rinnai RU199, propane)</t>
  </si>
  <si>
    <t xml:space="preserve">Toilets — Toto Drake (3 units)</t>
  </si>
  <si>
    <t xml:space="preserve">Bathtub — freestanding soaker (master)</t>
  </si>
  <si>
    <t xml:space="preserve">Shower Pan — tile-ready (master, 48×36)</t>
  </si>
  <si>
    <t xml:space="preserve">Shower Pan — tile-ready (hall bath, 36×36)</t>
  </si>
  <si>
    <t xml:space="preserve">Laundry Connections (hot/cold/drain box)</t>
  </si>
  <si>
    <t xml:space="preserve">Hose Bibbs — freeze-proof (3 exterior)</t>
  </si>
  <si>
    <t xml:space="preserve">Plumbing Gas Lines — interior (range, fireplace, dryer, WH)</t>
  </si>
  <si>
    <t xml:space="preserve">SUBTOTAL — PLUMBING</t>
  </si>
  <si>
    <t xml:space="preserve">DIVISION 14 — HVAC</t>
  </si>
  <si>
    <t xml:space="preserve">HVAC System 1 — Trane XR16, 3-ton (main living areas)</t>
  </si>
  <si>
    <t xml:space="preserve">HVAC System 2 — Trane XR16, 2-ton (bedrooms/bonus)</t>
  </si>
  <si>
    <t xml:space="preserve">Ductwork — insulated flex + rigid (full house)</t>
  </si>
  <si>
    <t xml:space="preserve">Thermostats — Ecobee Smart (2 zones)</t>
  </si>
  <si>
    <t xml:space="preserve">Vent Covers — decorative (supply + return, 28 units)</t>
  </si>
  <si>
    <t xml:space="preserve">Bath Exhaust Fans — Panasonic WhisperCeiling (3)</t>
  </si>
  <si>
    <t xml:space="preserve">Range Hood Vent — ducted to exterior (kitchen)</t>
  </si>
  <si>
    <t xml:space="preserve">HVAC Start-Up, Commissioning &amp; Refrigerant Charge</t>
  </si>
  <si>
    <t xml:space="preserve">SUBTOTAL — HVAC</t>
  </si>
  <si>
    <t xml:space="preserve">DIVISION 15 — ELECTRICAL</t>
  </si>
  <si>
    <t xml:space="preserve">Electrical Rough-In — 200A panel, circuits, boxes (whole house)</t>
  </si>
  <si>
    <t xml:space="preserve">Receptacles — standard 15A duplex (65 locations)</t>
  </si>
  <si>
    <t xml:space="preserve">Receptacles — GFCI (kitchen, bath, garage, exterior — 12)</t>
  </si>
  <si>
    <t xml:space="preserve">Light Switches — Decora style (35 locations)</t>
  </si>
  <si>
    <t xml:space="preserve">Recessed Lights — 6" LED IC-rated (32 cans)</t>
  </si>
  <si>
    <t xml:space="preserve">Light Fixtures — decorative (foyer, dining, master — allowance)</t>
  </si>
  <si>
    <t xml:space="preserve">Under-Cabinet Lighting — LED strip (kitchen, 16 lin ft)</t>
  </si>
  <si>
    <t xml:space="preserve">Exterior Lighting — wall packs, soffit cans, post light (8 fixtures)</t>
  </si>
  <si>
    <t xml:space="preserve">Ceiling Fans — pre-wire + fan (4 locations)</t>
  </si>
  <si>
    <t xml:space="preserve">Smoke / CO Detectors — hardwired (8 units)</t>
  </si>
  <si>
    <t xml:space="preserve">Doorbell — Ring Pro (hardwired)</t>
  </si>
  <si>
    <t xml:space="preserve">Structured Wiring — CAT6 + coax (8 drops)</t>
  </si>
  <si>
    <t xml:space="preserve">Electrical Panel — 200A, 40-space (Eaton or Square D)</t>
  </si>
  <si>
    <t xml:space="preserve">Whole-House Surge Protector</t>
  </si>
  <si>
    <t xml:space="preserve">SUBTOTAL — ELECTRICAL</t>
  </si>
  <si>
    <t xml:space="preserve">DIVISION 16 — FIREPLACE</t>
  </si>
  <si>
    <t xml:space="preserve">Gas Fireplace — direct-vent prefab (42", Majestic Quartz)</t>
  </si>
  <si>
    <t xml:space="preserve">Fireplace Surround — natural stone veneer (50 SF)</t>
  </si>
  <si>
    <t xml:space="preserve">Mantel — solid wood beam (6" × 8" × 60")</t>
  </si>
  <si>
    <t xml:space="preserve">Fireplace Gas Line (from main LP line)</t>
  </si>
  <si>
    <t xml:space="preserve">Fireplace Venting / Chimney Chase</t>
  </si>
  <si>
    <t xml:space="preserve">SUBTOTAL — FIREPLACE</t>
  </si>
  <si>
    <t xml:space="preserve">DIVISION 17 — APPLIANCES</t>
  </si>
  <si>
    <t xml:space="preserve">Refrigerator — Samsung/LG French Door (36")</t>
  </si>
  <si>
    <t xml:space="preserve">Range — 30" gas (5-burner, Samsung/LG)</t>
  </si>
  <si>
    <t xml:space="preserve">Dishwasher — Bosch 500 Series</t>
  </si>
  <si>
    <t xml:space="preserve">Microwave — over-the-range (GE Profile)</t>
  </si>
  <si>
    <t xml:space="preserve">Washer &amp; Dryer — Samsung/LG (front load)</t>
  </si>
  <si>
    <t xml:space="preserve">SUBTOTAL — APPLIANCES</t>
  </si>
  <si>
    <t xml:space="preserve">DIVISION 18 — EXTERIOR CONCRETE &amp; FLATWORK</t>
  </si>
  <si>
    <t xml:space="preserve">Front Porch / Stoop — concrete w/ brick steps (80 SF)</t>
  </si>
  <si>
    <t xml:space="preserve">Covered Back Porch — concrete slab (192 SF)</t>
  </si>
  <si>
    <t xml:space="preserve">Sidewalk — front entry (4" concrete, 40 lin ft × 4 ft)</t>
  </si>
  <si>
    <t xml:space="preserve">Garage Slab — thickened edge (576 SF, 4" w/ wire mesh)</t>
  </si>
  <si>
    <t xml:space="preserve">AC Pad — precast concrete (2 units)</t>
  </si>
  <si>
    <t xml:space="preserve">SUBTOTAL — EXTERIOR CONCRETE &amp; FLATWORK</t>
  </si>
  <si>
    <t xml:space="preserve">DIVISION 19 — LANDSCAPING &amp; FINAL SITE</t>
  </si>
  <si>
    <t xml:space="preserve">Finish Grading — yard</t>
  </si>
  <si>
    <t xml:space="preserve">Sod — Bermuda (front &amp; side yards, 6000 SF)</t>
  </si>
  <si>
    <t xml:space="preserve">Seed — Bermuda (rear yard, 4000 SF)</t>
  </si>
  <si>
    <t xml:space="preserve">Landscape Beds — mulch, edging (3 beds)</t>
  </si>
  <si>
    <t xml:space="preserve">Mailbox Installation</t>
  </si>
  <si>
    <t xml:space="preserve">Address Numbers / House Numbers</t>
  </si>
  <si>
    <t xml:space="preserve">SUBTOTAL — LANDSCAPING &amp; FINAL SITE</t>
  </si>
  <si>
    <t xml:space="preserve">DIVISION 20 — CLEANUP &amp; PUNCH LIST</t>
  </si>
  <si>
    <t xml:space="preserve">Progress Cleaning (bi-weekly, 20 weeks)</t>
  </si>
  <si>
    <t xml:space="preserve">Final Construction Cleaning — deep clean</t>
  </si>
  <si>
    <t xml:space="preserve">Window Cleaning (interior + exterior)</t>
  </si>
  <si>
    <t xml:space="preserve">Punch List Labor (40 hours estimated)</t>
  </si>
  <si>
    <t xml:space="preserve">hour</t>
  </si>
  <si>
    <t xml:space="preserve">Construction Dumpsters — 30 yard (building phase, 6 pulls)</t>
  </si>
  <si>
    <t xml:space="preserve">Final Survey / As-Built</t>
  </si>
  <si>
    <t xml:space="preserve">SUBTOTAL — CLEANUP &amp; PUNCH LIST</t>
  </si>
  <si>
    <t xml:space="preserve">SUBTOTAL — ALL DIVISIONS</t>
  </si>
  <si>
    <t xml:space="preserve">Overhead &amp; Profit (8%)</t>
  </si>
  <si>
    <t xml:space="preserve">Contingency (5%)</t>
  </si>
  <si>
    <t xml:space="preserve">Sales Tax (7%)</t>
  </si>
  <si>
    <t xml:space="preserve">BUILDING GRAND TOTAL</t>
  </si>
  <si>
    <t xml:space="preserve">BUILDING FINANCIAL SUMMARY</t>
  </si>
  <si>
    <t xml:space="preserve">Retail Grand Total (Client Price):</t>
  </si>
  <si>
    <t xml:space="preserve">Actual Cost Total (Internal):</t>
  </si>
  <si>
    <t xml:space="preserve">Gross Profit:</t>
  </si>
  <si>
    <t xml:space="preserve">Gross Margin %:</t>
  </si>
  <si>
    <t xml:space="preserve">Heated Square Footage:</t>
  </si>
  <si>
    <t xml:space="preserve">COST PER SQUARE FOOT:</t>
  </si>
  <si>
    <t xml:space="preserve">Target Range:</t>
  </si>
  <si>
    <t xml:space="preserve">IN TARGET RANGE?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</si>
</sst>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\$#,##0.00;&quot;($&quot;#,##0.00\);\-"/>
    <numFmt numFmtId="167" formatCode="0.0%"/>
    <numFmt numFmtId="168" formatCode="\$#,##0;&quot;($&quot;#,##0\);\-"/>
    <numFmt numFmtId="169" formatCode="#,##0"/>
    <numFmt numFmtId="170" formatCode="\$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37562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  <border diagonalUp="false" diagonalDown="false">
      <left/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4" min="3" style="1" width="10"/>
    <col collapsed="false" customWidth="true" hidden="false" outlineLevel="0" max="7" min="5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2</v>
      </c>
      <c r="B3" s="5" t="s">
        <v>3</v>
      </c>
      <c r="C3" s="5"/>
      <c r="D3" s="5"/>
      <c r="F3" s="4" t="s">
        <v>4</v>
      </c>
      <c r="G3" s="5" t="s">
        <v>5</v>
      </c>
      <c r="H3" s="5"/>
      <c r="I3" s="5"/>
    </row>
    <row r="4" customFormat="false" ht="15" hidden="false" customHeight="true" outlineLevel="0" collapsed="false">
      <c r="A4" s="4" t="s">
        <v>6</v>
      </c>
      <c r="B4" s="5" t="s">
        <v>7</v>
      </c>
      <c r="C4" s="5"/>
      <c r="D4" s="5"/>
      <c r="F4" s="4" t="s">
        <v>8</v>
      </c>
      <c r="G4" s="5" t="s">
        <v>9</v>
      </c>
      <c r="H4" s="5"/>
      <c r="I4" s="5"/>
    </row>
    <row r="5" customFormat="false" ht="15" hidden="false" customHeight="true" outlineLevel="0" collapsed="false">
      <c r="A5" s="4" t="s">
        <v>10</v>
      </c>
      <c r="B5" s="5" t="s">
        <v>11</v>
      </c>
      <c r="C5" s="5"/>
      <c r="D5" s="5"/>
      <c r="F5" s="4" t="s">
        <v>12</v>
      </c>
      <c r="G5" s="5" t="s">
        <v>13</v>
      </c>
      <c r="H5" s="5"/>
      <c r="I5" s="5"/>
    </row>
    <row r="6" customFormat="false" ht="15" hidden="false" customHeight="true" outlineLevel="0" collapsed="false">
      <c r="A6" s="6" t="s">
        <v>14</v>
      </c>
      <c r="B6" s="7" t="s">
        <v>15</v>
      </c>
      <c r="C6" s="7"/>
      <c r="D6" s="7"/>
      <c r="F6" s="6" t="s">
        <v>16</v>
      </c>
      <c r="G6" s="7" t="s">
        <v>17</v>
      </c>
      <c r="H6" s="7"/>
      <c r="I6" s="7"/>
    </row>
    <row r="7" customFormat="false" ht="15" hidden="false" customHeight="true" outlineLevel="0" collapsed="false">
      <c r="A7" s="6" t="s">
        <v>18</v>
      </c>
      <c r="B7" s="7" t="s">
        <v>19</v>
      </c>
      <c r="C7" s="7"/>
      <c r="D7" s="7"/>
      <c r="F7" s="6" t="s">
        <v>20</v>
      </c>
      <c r="G7" s="7" t="s">
        <v>21</v>
      </c>
      <c r="H7" s="7"/>
      <c r="I7" s="7"/>
    </row>
    <row r="8" customFormat="false" ht="15" hidden="false" customHeight="true" outlineLevel="0" collapsed="false">
      <c r="A8" s="6" t="s">
        <v>22</v>
      </c>
      <c r="B8" s="7" t="s">
        <v>23</v>
      </c>
      <c r="C8" s="7"/>
      <c r="D8" s="7"/>
      <c r="F8" s="6" t="s">
        <v>24</v>
      </c>
      <c r="G8" s="7" t="s">
        <v>25</v>
      </c>
      <c r="H8" s="7"/>
      <c r="I8" s="7"/>
    </row>
    <row r="9" customFormat="false" ht="15" hidden="false" customHeight="true" outlineLevel="0" collapsed="false">
      <c r="A9" s="6" t="s">
        <v>26</v>
      </c>
      <c r="B9" s="7" t="s">
        <v>27</v>
      </c>
      <c r="C9" s="7"/>
      <c r="D9" s="7"/>
      <c r="F9" s="6" t="s">
        <v>28</v>
      </c>
      <c r="G9" s="7" t="s">
        <v>29</v>
      </c>
      <c r="H9" s="7"/>
      <c r="I9" s="7"/>
    </row>
    <row r="11" customFormat="false" ht="36" hidden="false" customHeight="true" outlineLevel="0" collapsed="false">
      <c r="A11" s="8" t="s">
        <v>30</v>
      </c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  <c r="G11" s="8" t="s">
        <v>36</v>
      </c>
      <c r="H11" s="8" t="s">
        <v>37</v>
      </c>
      <c r="I11" s="8" t="s">
        <v>38</v>
      </c>
      <c r="J11" s="8" t="s">
        <v>39</v>
      </c>
      <c r="K11" s="8" t="s">
        <v>40</v>
      </c>
    </row>
    <row r="12" customFormat="false" ht="15" hidden="false" customHeight="true" outlineLevel="0" collapsed="false">
      <c r="E12" s="9" t="s">
        <v>41</v>
      </c>
      <c r="F12" s="9"/>
      <c r="I12" s="9" t="s">
        <v>42</v>
      </c>
      <c r="J12" s="9"/>
    </row>
    <row r="13" customFormat="false" ht="15" hidden="false" customHeight="true" outlineLevel="0" collapsed="false">
      <c r="A13" s="10"/>
      <c r="B13" s="11" t="s">
        <v>43</v>
      </c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5" hidden="false" customHeight="true" outlineLevel="0" collapsed="false">
      <c r="A14" s="12" t="n">
        <v>1</v>
      </c>
      <c r="B14" s="13" t="s">
        <v>44</v>
      </c>
      <c r="C14" s="14" t="n">
        <v>1</v>
      </c>
      <c r="D14" s="12" t="s">
        <v>45</v>
      </c>
      <c r="E14" s="15" t="n">
        <v>2192.19</v>
      </c>
      <c r="F14" s="15" t="n">
        <v>0</v>
      </c>
      <c r="G14" s="15" t="n">
        <v>3688.46</v>
      </c>
      <c r="H14" s="16" t="n">
        <f aca="false">C14*G14</f>
        <v>3688.46</v>
      </c>
      <c r="I14" s="16" t="n">
        <f aca="false">E14+F14</f>
        <v>2192.19</v>
      </c>
      <c r="J14" s="16" t="n">
        <f aca="false">C14*I14</f>
        <v>2192.19</v>
      </c>
      <c r="K14" s="17" t="n">
        <f aca="false">IF(I14=0,"-",(G14-I14)/I14)</f>
        <v>0.682545764737546</v>
      </c>
    </row>
    <row r="15" customFormat="false" ht="15" hidden="false" customHeight="true" outlineLevel="0" collapsed="false">
      <c r="A15" s="12" t="n">
        <v>2</v>
      </c>
      <c r="B15" s="13" t="s">
        <v>46</v>
      </c>
      <c r="C15" s="14" t="n">
        <v>20</v>
      </c>
      <c r="D15" s="12" t="s">
        <v>47</v>
      </c>
      <c r="E15" s="15" t="n">
        <v>0</v>
      </c>
      <c r="F15" s="15" t="n">
        <v>281.85</v>
      </c>
      <c r="G15" s="15" t="n">
        <v>425.59</v>
      </c>
      <c r="H15" s="16" t="n">
        <f aca="false">C15*G15</f>
        <v>8511.8</v>
      </c>
      <c r="I15" s="16" t="n">
        <f aca="false">E15+F15</f>
        <v>281.85</v>
      </c>
      <c r="J15" s="16" t="n">
        <f aca="false">C15*I15</f>
        <v>5637</v>
      </c>
      <c r="K15" s="17" t="n">
        <f aca="false">IF(I15=0,"-",(G15-I15)/I15)</f>
        <v>0.509987582047188</v>
      </c>
    </row>
    <row r="16" customFormat="false" ht="15" hidden="false" customHeight="true" outlineLevel="0" collapsed="false">
      <c r="A16" s="12" t="n">
        <v>3</v>
      </c>
      <c r="B16" s="13" t="s">
        <v>48</v>
      </c>
      <c r="C16" s="14" t="n">
        <v>1</v>
      </c>
      <c r="D16" s="12" t="s">
        <v>45</v>
      </c>
      <c r="E16" s="15" t="n">
        <v>5323.88</v>
      </c>
      <c r="F16" s="15" t="n">
        <v>0</v>
      </c>
      <c r="G16" s="15" t="n">
        <v>5958.28</v>
      </c>
      <c r="H16" s="16" t="n">
        <f aca="false">C16*G16</f>
        <v>5958.28</v>
      </c>
      <c r="I16" s="16" t="n">
        <f aca="false">E16+F16</f>
        <v>5323.88</v>
      </c>
      <c r="J16" s="16" t="n">
        <f aca="false">C16*I16</f>
        <v>5323.88</v>
      </c>
      <c r="K16" s="17" t="n">
        <f aca="false">IF(I16=0,"-",(G16-I16)/I16)</f>
        <v>0.119161213250486</v>
      </c>
    </row>
    <row r="17" customFormat="false" ht="15" hidden="false" customHeight="true" outlineLevel="0" collapsed="false">
      <c r="A17" s="12" t="n">
        <v>4</v>
      </c>
      <c r="B17" s="13" t="s">
        <v>49</v>
      </c>
      <c r="C17" s="14" t="n">
        <v>1</v>
      </c>
      <c r="D17" s="12" t="s">
        <v>45</v>
      </c>
      <c r="E17" s="15" t="n">
        <v>2004.28</v>
      </c>
      <c r="F17" s="15" t="n">
        <v>0</v>
      </c>
      <c r="G17" s="15" t="n">
        <v>1815.86</v>
      </c>
      <c r="H17" s="16" t="n">
        <f aca="false">C17*G17</f>
        <v>1815.86</v>
      </c>
      <c r="I17" s="16" t="n">
        <f aca="false">E17+F17</f>
        <v>2004.28</v>
      </c>
      <c r="J17" s="16" t="n">
        <f aca="false">C17*I17</f>
        <v>2004.28</v>
      </c>
      <c r="K17" s="17" t="n">
        <f aca="false">IF(I17=0,"-",(G17-I17)/I17)</f>
        <v>-0.0940088211227973</v>
      </c>
    </row>
    <row r="18" customFormat="false" ht="15" hidden="false" customHeight="true" outlineLevel="0" collapsed="false">
      <c r="A18" s="12" t="n">
        <v>5</v>
      </c>
      <c r="B18" s="13" t="s">
        <v>50</v>
      </c>
      <c r="C18" s="14" t="n">
        <v>1</v>
      </c>
      <c r="D18" s="12" t="s">
        <v>45</v>
      </c>
      <c r="E18" s="15" t="n">
        <v>2192.19</v>
      </c>
      <c r="F18" s="15" t="n">
        <v>0</v>
      </c>
      <c r="G18" s="15" t="n">
        <v>2553.55</v>
      </c>
      <c r="H18" s="16" t="n">
        <f aca="false">C18*G18</f>
        <v>2553.55</v>
      </c>
      <c r="I18" s="16" t="n">
        <f aca="false">E18+F18</f>
        <v>2192.19</v>
      </c>
      <c r="J18" s="16" t="n">
        <f aca="false">C18*I18</f>
        <v>2192.19</v>
      </c>
      <c r="K18" s="17" t="n">
        <f aca="false">IF(I18=0,"-",(G18-I18)/I18)</f>
        <v>0.164839726483562</v>
      </c>
    </row>
    <row r="19" customFormat="false" ht="15" hidden="false" customHeight="true" outlineLevel="0" collapsed="false">
      <c r="A19" s="12" t="n">
        <v>6</v>
      </c>
      <c r="B19" s="13" t="s">
        <v>51</v>
      </c>
      <c r="C19" s="14" t="n">
        <v>1</v>
      </c>
      <c r="D19" s="12" t="s">
        <v>45</v>
      </c>
      <c r="E19" s="15" t="n">
        <v>501.07</v>
      </c>
      <c r="F19" s="15" t="n">
        <v>0</v>
      </c>
      <c r="G19" s="15" t="n">
        <v>680.95</v>
      </c>
      <c r="H19" s="16" t="n">
        <f aca="false">C19*G19</f>
        <v>680.95</v>
      </c>
      <c r="I19" s="16" t="n">
        <f aca="false">E19+F19</f>
        <v>501.07</v>
      </c>
      <c r="J19" s="16" t="n">
        <f aca="false">C19*I19</f>
        <v>501.07</v>
      </c>
      <c r="K19" s="17" t="n">
        <f aca="false">IF(I19=0,"-",(G19-I19)/I19)</f>
        <v>0.358991757638653</v>
      </c>
    </row>
    <row r="20" customFormat="false" ht="15" hidden="false" customHeight="true" outlineLevel="0" collapsed="false">
      <c r="A20" s="12" t="n">
        <v>7</v>
      </c>
      <c r="B20" s="13" t="s">
        <v>52</v>
      </c>
      <c r="C20" s="14" t="n">
        <v>1</v>
      </c>
      <c r="D20" s="12" t="s">
        <v>45</v>
      </c>
      <c r="E20" s="15" t="n">
        <v>751.61</v>
      </c>
      <c r="F20" s="15" t="n">
        <v>939.51</v>
      </c>
      <c r="G20" s="15" t="n">
        <v>2269.82</v>
      </c>
      <c r="H20" s="16" t="n">
        <f aca="false">C20*G20</f>
        <v>2269.82</v>
      </c>
      <c r="I20" s="16" t="n">
        <f aca="false">E20+F20</f>
        <v>1691.12</v>
      </c>
      <c r="J20" s="16" t="n">
        <f aca="false">C20*I20</f>
        <v>1691.12</v>
      </c>
      <c r="K20" s="17" t="n">
        <f aca="false">IF(I20=0,"-",(G20-I20)/I20)</f>
        <v>0.342199252566347</v>
      </c>
    </row>
    <row r="21" customFormat="false" ht="15" hidden="false" customHeight="true" outlineLevel="0" collapsed="false">
      <c r="A21" s="12" t="n">
        <v>8</v>
      </c>
      <c r="B21" s="13" t="s">
        <v>53</v>
      </c>
      <c r="C21" s="14" t="n">
        <v>1</v>
      </c>
      <c r="D21" s="12" t="s">
        <v>45</v>
      </c>
      <c r="E21" s="15" t="n">
        <v>250.54</v>
      </c>
      <c r="F21" s="15" t="n">
        <v>187.9</v>
      </c>
      <c r="G21" s="15" t="n">
        <v>567.46</v>
      </c>
      <c r="H21" s="16" t="n">
        <f aca="false">C21*G21</f>
        <v>567.46</v>
      </c>
      <c r="I21" s="16" t="n">
        <f aca="false">E21+F21</f>
        <v>438.44</v>
      </c>
      <c r="J21" s="16" t="n">
        <f aca="false">C21*I21</f>
        <v>438.44</v>
      </c>
      <c r="K21" s="17" t="n">
        <f aca="false">IF(I21=0,"-",(G21-I21)/I21)</f>
        <v>0.294270595748563</v>
      </c>
    </row>
    <row r="22" customFormat="false" ht="15" hidden="false" customHeight="true" outlineLevel="0" collapsed="false">
      <c r="A22" s="12" t="n">
        <v>9</v>
      </c>
      <c r="B22" s="13" t="s">
        <v>54</v>
      </c>
      <c r="C22" s="14" t="n">
        <v>1</v>
      </c>
      <c r="D22" s="12" t="s">
        <v>45</v>
      </c>
      <c r="E22" s="15" t="n">
        <v>125.27</v>
      </c>
      <c r="F22" s="15" t="n">
        <v>125.27</v>
      </c>
      <c r="G22" s="15" t="n">
        <v>340.47</v>
      </c>
      <c r="H22" s="16" t="n">
        <f aca="false">C22*G22</f>
        <v>340.47</v>
      </c>
      <c r="I22" s="16" t="n">
        <f aca="false">E22+F22</f>
        <v>250.54</v>
      </c>
      <c r="J22" s="16" t="n">
        <f aca="false">C22*I22</f>
        <v>250.54</v>
      </c>
      <c r="K22" s="17" t="n">
        <f aca="false">IF(I22=0,"-",(G22-I22)/I22)</f>
        <v>0.358944679492297</v>
      </c>
    </row>
    <row r="23" customFormat="false" ht="15" hidden="false" customHeight="true" outlineLevel="0" collapsed="false">
      <c r="A23" s="12" t="n">
        <v>10</v>
      </c>
      <c r="B23" s="13" t="s">
        <v>55</v>
      </c>
      <c r="C23" s="14" t="n">
        <v>5</v>
      </c>
      <c r="D23" s="12" t="s">
        <v>56</v>
      </c>
      <c r="E23" s="15" t="n">
        <v>109.61</v>
      </c>
      <c r="F23" s="15" t="n">
        <v>0</v>
      </c>
      <c r="G23" s="15" t="n">
        <v>141.86</v>
      </c>
      <c r="H23" s="16" t="n">
        <f aca="false">C23*G23</f>
        <v>709.3</v>
      </c>
      <c r="I23" s="16" t="n">
        <f aca="false">E23+F23</f>
        <v>109.61</v>
      </c>
      <c r="J23" s="16" t="n">
        <f aca="false">C23*I23</f>
        <v>548.05</v>
      </c>
      <c r="K23" s="17" t="n">
        <f aca="false">IF(I23=0,"-",(G23-I23)/I23)</f>
        <v>0.294224979472676</v>
      </c>
    </row>
    <row r="24" customFormat="false" ht="15" hidden="false" customHeight="true" outlineLevel="0" collapsed="false">
      <c r="A24" s="12" t="n">
        <v>11</v>
      </c>
      <c r="B24" s="13" t="s">
        <v>57</v>
      </c>
      <c r="C24" s="14" t="n">
        <v>1</v>
      </c>
      <c r="D24" s="12" t="s">
        <v>45</v>
      </c>
      <c r="E24" s="15" t="n">
        <v>1753.75</v>
      </c>
      <c r="F24" s="15" t="n">
        <v>0</v>
      </c>
      <c r="G24" s="15" t="n">
        <v>1986.09</v>
      </c>
      <c r="H24" s="16" t="n">
        <f aca="false">C24*G24</f>
        <v>1986.09</v>
      </c>
      <c r="I24" s="16" t="n">
        <f aca="false">E24+F24</f>
        <v>1753.75</v>
      </c>
      <c r="J24" s="16" t="n">
        <f aca="false">C24*I24</f>
        <v>1753.75</v>
      </c>
      <c r="K24" s="17" t="n">
        <f aca="false">IF(I24=0,"-",(G24-I24)/I24)</f>
        <v>0.13248182466144</v>
      </c>
    </row>
    <row r="25" customFormat="false" ht="15" hidden="false" customHeight="true" outlineLevel="0" collapsed="false">
      <c r="A25" s="12" t="n">
        <v>12</v>
      </c>
      <c r="B25" s="13" t="s">
        <v>58</v>
      </c>
      <c r="C25" s="14" t="n">
        <v>2250</v>
      </c>
      <c r="D25" s="12" t="s">
        <v>59</v>
      </c>
      <c r="E25" s="15" t="n">
        <v>0.28</v>
      </c>
      <c r="F25" s="15" t="n">
        <v>0</v>
      </c>
      <c r="G25" s="15" t="n">
        <v>0.37</v>
      </c>
      <c r="H25" s="16" t="n">
        <f aca="false">C25*G25</f>
        <v>832.5</v>
      </c>
      <c r="I25" s="16" t="n">
        <f aca="false">E25+F25</f>
        <v>0.28</v>
      </c>
      <c r="J25" s="16" t="n">
        <f aca="false">C25*I25</f>
        <v>630</v>
      </c>
      <c r="K25" s="17" t="n">
        <f aca="false">IF(I25=0,"-",(G25-I25)/I25)</f>
        <v>0.321428571428571</v>
      </c>
    </row>
    <row r="26" customFormat="false" ht="15" hidden="false" customHeight="true" outlineLevel="0" collapsed="false">
      <c r="A26" s="18"/>
      <c r="B26" s="18" t="s">
        <v>60</v>
      </c>
      <c r="C26" s="18"/>
      <c r="D26" s="18"/>
      <c r="E26" s="18"/>
      <c r="F26" s="18"/>
      <c r="G26" s="18"/>
      <c r="H26" s="19" t="n">
        <f aca="false">SUM(H14:H25)</f>
        <v>29914.54</v>
      </c>
      <c r="I26" s="18"/>
      <c r="J26" s="19" t="n">
        <f aca="false">SUM(J14:J25)</f>
        <v>23162.51</v>
      </c>
      <c r="K26" s="18"/>
    </row>
    <row r="27" customFormat="false" ht="15" hidden="false" customHeight="false" outlineLevel="0" collapsed="false"/>
    <row r="28" customFormat="false" ht="15" hidden="false" customHeight="true" outlineLevel="0" collapsed="false">
      <c r="A28" s="10"/>
      <c r="B28" s="11" t="s">
        <v>61</v>
      </c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5" hidden="false" customHeight="true" outlineLevel="0" collapsed="false">
      <c r="A29" s="12" t="n">
        <v>13</v>
      </c>
      <c r="B29" s="13" t="s">
        <v>62</v>
      </c>
      <c r="C29" s="14" t="n">
        <v>380</v>
      </c>
      <c r="D29" s="12" t="s">
        <v>63</v>
      </c>
      <c r="E29" s="15" t="n">
        <v>0</v>
      </c>
      <c r="F29" s="15" t="n">
        <v>2.82</v>
      </c>
      <c r="G29" s="15" t="n">
        <v>4.26</v>
      </c>
      <c r="H29" s="16" t="n">
        <f aca="false">C29*G29</f>
        <v>1618.8</v>
      </c>
      <c r="I29" s="16" t="n">
        <f aca="false">E29+F29</f>
        <v>2.82</v>
      </c>
      <c r="J29" s="16" t="n">
        <f aca="false">C29*I29</f>
        <v>1071.6</v>
      </c>
      <c r="K29" s="17" t="n">
        <f aca="false">IF(I29=0,"-",(G29-I29)/I29)</f>
        <v>0.51063829787234</v>
      </c>
    </row>
    <row r="30" customFormat="false" ht="15" hidden="false" customHeight="true" outlineLevel="0" collapsed="false">
      <c r="A30" s="12" t="n">
        <v>14</v>
      </c>
      <c r="B30" s="13" t="s">
        <v>64</v>
      </c>
      <c r="C30" s="14" t="n">
        <v>380</v>
      </c>
      <c r="D30" s="12" t="s">
        <v>63</v>
      </c>
      <c r="E30" s="15" t="n">
        <v>2.04</v>
      </c>
      <c r="F30" s="15" t="n">
        <v>1.57</v>
      </c>
      <c r="G30" s="15" t="n">
        <v>4.82</v>
      </c>
      <c r="H30" s="16" t="n">
        <f aca="false">C30*G30</f>
        <v>1831.6</v>
      </c>
      <c r="I30" s="16" t="n">
        <f aca="false">E30+F30</f>
        <v>3.61</v>
      </c>
      <c r="J30" s="16" t="n">
        <f aca="false">C30*I30</f>
        <v>1371.8</v>
      </c>
      <c r="K30" s="17" t="n">
        <f aca="false">IF(I30=0,"-",(G30-I30)/I30)</f>
        <v>0.335180055401662</v>
      </c>
    </row>
    <row r="31" customFormat="false" ht="15" hidden="false" customHeight="true" outlineLevel="0" collapsed="false">
      <c r="A31" s="12" t="n">
        <v>15</v>
      </c>
      <c r="B31" s="13" t="s">
        <v>65</v>
      </c>
      <c r="C31" s="14" t="n">
        <v>22</v>
      </c>
      <c r="D31" s="12" t="s">
        <v>66</v>
      </c>
      <c r="E31" s="15" t="n">
        <v>90.82</v>
      </c>
      <c r="F31" s="15" t="n">
        <v>0</v>
      </c>
      <c r="G31" s="15" t="n">
        <v>110.65</v>
      </c>
      <c r="H31" s="16" t="n">
        <f aca="false">C31*G31</f>
        <v>2434.3</v>
      </c>
      <c r="I31" s="16" t="n">
        <f aca="false">E31+F31</f>
        <v>90.82</v>
      </c>
      <c r="J31" s="16" t="n">
        <f aca="false">C31*I31</f>
        <v>1998.04</v>
      </c>
      <c r="K31" s="17" t="n">
        <f aca="false">IF(I31=0,"-",(G31-I31)/I31)</f>
        <v>0.218343977097556</v>
      </c>
    </row>
    <row r="32" customFormat="false" ht="15" hidden="false" customHeight="true" outlineLevel="0" collapsed="false">
      <c r="A32" s="12" t="n">
        <v>16</v>
      </c>
      <c r="B32" s="13" t="s">
        <v>67</v>
      </c>
      <c r="C32" s="14" t="n">
        <v>760</v>
      </c>
      <c r="D32" s="12" t="s">
        <v>63</v>
      </c>
      <c r="E32" s="15" t="n">
        <v>0.72</v>
      </c>
      <c r="F32" s="15" t="n">
        <v>0.41</v>
      </c>
      <c r="G32" s="15" t="n">
        <v>1.56</v>
      </c>
      <c r="H32" s="16" t="n">
        <f aca="false">C32*G32</f>
        <v>1185.6</v>
      </c>
      <c r="I32" s="16" t="n">
        <f aca="false">E32+F32</f>
        <v>1.13</v>
      </c>
      <c r="J32" s="16" t="n">
        <f aca="false">C32*I32</f>
        <v>858.8</v>
      </c>
      <c r="K32" s="17" t="n">
        <f aca="false">IF(I32=0,"-",(G32-I32)/I32)</f>
        <v>0.380530973451328</v>
      </c>
    </row>
    <row r="33" customFormat="false" ht="15" hidden="false" customHeight="true" outlineLevel="0" collapsed="false">
      <c r="A33" s="12" t="n">
        <v>17</v>
      </c>
      <c r="B33" s="13" t="s">
        <v>68</v>
      </c>
      <c r="C33" s="14" t="n">
        <v>1710</v>
      </c>
      <c r="D33" s="12" t="s">
        <v>69</v>
      </c>
      <c r="E33" s="15" t="n">
        <v>1.35</v>
      </c>
      <c r="F33" s="15" t="n">
        <v>1.57</v>
      </c>
      <c r="G33" s="15" t="n">
        <v>3.83</v>
      </c>
      <c r="H33" s="16" t="n">
        <f aca="false">C33*G33</f>
        <v>6549.3</v>
      </c>
      <c r="I33" s="16" t="n">
        <f aca="false">E33+F33</f>
        <v>2.92</v>
      </c>
      <c r="J33" s="16" t="n">
        <f aca="false">C33*I33</f>
        <v>4993.2</v>
      </c>
      <c r="K33" s="17" t="n">
        <f aca="false">IF(I33=0,"-",(G33-I33)/I33)</f>
        <v>0.311643835616438</v>
      </c>
    </row>
    <row r="34" customFormat="false" ht="15" hidden="false" customHeight="true" outlineLevel="0" collapsed="false">
      <c r="A34" s="12" t="n">
        <v>18</v>
      </c>
      <c r="B34" s="13" t="s">
        <v>70</v>
      </c>
      <c r="C34" s="14" t="n">
        <v>6</v>
      </c>
      <c r="D34" s="12" t="s">
        <v>66</v>
      </c>
      <c r="E34" s="15" t="n">
        <v>90.82</v>
      </c>
      <c r="F34" s="15" t="n">
        <v>21.92</v>
      </c>
      <c r="G34" s="15" t="n">
        <v>150.38</v>
      </c>
      <c r="H34" s="16" t="n">
        <f aca="false">C34*G34</f>
        <v>902.28</v>
      </c>
      <c r="I34" s="16" t="n">
        <f aca="false">E34+F34</f>
        <v>112.74</v>
      </c>
      <c r="J34" s="16" t="n">
        <f aca="false">C34*I34</f>
        <v>676.44</v>
      </c>
      <c r="K34" s="17" t="n">
        <f aca="false">IF(I34=0,"-",(G34-I34)/I34)</f>
        <v>0.333865531310981</v>
      </c>
    </row>
    <row r="35" customFormat="false" ht="15" hidden="false" customHeight="true" outlineLevel="0" collapsed="false">
      <c r="A35" s="12" t="n">
        <v>19</v>
      </c>
      <c r="B35" s="13" t="s">
        <v>71</v>
      </c>
      <c r="C35" s="14" t="n">
        <v>95</v>
      </c>
      <c r="D35" s="12" t="s">
        <v>47</v>
      </c>
      <c r="E35" s="15" t="n">
        <v>2.82</v>
      </c>
      <c r="F35" s="15" t="n">
        <v>1.57</v>
      </c>
      <c r="G35" s="15" t="n">
        <v>5.67</v>
      </c>
      <c r="H35" s="16" t="n">
        <f aca="false">C35*G35</f>
        <v>538.65</v>
      </c>
      <c r="I35" s="16" t="n">
        <f aca="false">E35+F35</f>
        <v>4.39</v>
      </c>
      <c r="J35" s="16" t="n">
        <f aca="false">C35*I35</f>
        <v>417.05</v>
      </c>
      <c r="K35" s="17" t="n">
        <f aca="false">IF(I35=0,"-",(G35-I35)/I35)</f>
        <v>0.291571753986333</v>
      </c>
    </row>
    <row r="36" customFormat="false" ht="15" hidden="false" customHeight="true" outlineLevel="0" collapsed="false">
      <c r="A36" s="12" t="n">
        <v>20</v>
      </c>
      <c r="B36" s="13" t="s">
        <v>72</v>
      </c>
      <c r="C36" s="14" t="n">
        <v>1</v>
      </c>
      <c r="D36" s="12" t="s">
        <v>45</v>
      </c>
      <c r="E36" s="15" t="n">
        <v>876.87</v>
      </c>
      <c r="F36" s="15" t="n">
        <v>0</v>
      </c>
      <c r="G36" s="15" t="n">
        <v>1021.42</v>
      </c>
      <c r="H36" s="16" t="n">
        <f aca="false">C36*G36</f>
        <v>1021.42</v>
      </c>
      <c r="I36" s="16" t="n">
        <f aca="false">E36+F36</f>
        <v>876.87</v>
      </c>
      <c r="J36" s="16" t="n">
        <f aca="false">C36*I36</f>
        <v>876.87</v>
      </c>
      <c r="K36" s="17" t="n">
        <f aca="false">IF(I36=0,"-",(G36-I36)/I36)</f>
        <v>0.164847696922007</v>
      </c>
    </row>
    <row r="37" customFormat="false" ht="15" hidden="false" customHeight="true" outlineLevel="0" collapsed="false">
      <c r="A37" s="12" t="n">
        <v>21</v>
      </c>
      <c r="B37" s="13" t="s">
        <v>73</v>
      </c>
      <c r="C37" s="14" t="n">
        <v>95</v>
      </c>
      <c r="D37" s="12" t="s">
        <v>47</v>
      </c>
      <c r="E37" s="15" t="n">
        <v>2.19</v>
      </c>
      <c r="F37" s="15" t="n">
        <v>0.94</v>
      </c>
      <c r="G37" s="15" t="n">
        <v>4.26</v>
      </c>
      <c r="H37" s="16" t="n">
        <f aca="false">C37*G37</f>
        <v>404.7</v>
      </c>
      <c r="I37" s="16" t="n">
        <f aca="false">E37+F37</f>
        <v>3.13</v>
      </c>
      <c r="J37" s="16" t="n">
        <f aca="false">C37*I37</f>
        <v>297.35</v>
      </c>
      <c r="K37" s="17" t="n">
        <f aca="false">IF(I37=0,"-",(G37-I37)/I37)</f>
        <v>0.361022364217252</v>
      </c>
    </row>
    <row r="38" customFormat="false" ht="15" hidden="false" customHeight="true" outlineLevel="0" collapsed="false">
      <c r="A38" s="12" t="n">
        <v>22</v>
      </c>
      <c r="B38" s="13" t="s">
        <v>74</v>
      </c>
      <c r="C38" s="14" t="n">
        <v>380</v>
      </c>
      <c r="D38" s="12" t="s">
        <v>63</v>
      </c>
      <c r="E38" s="15" t="n">
        <v>0.53</v>
      </c>
      <c r="F38" s="15" t="n">
        <v>0.28</v>
      </c>
      <c r="G38" s="15" t="n">
        <v>1.13</v>
      </c>
      <c r="H38" s="16" t="n">
        <f aca="false">C38*G38</f>
        <v>429.4</v>
      </c>
      <c r="I38" s="16" t="n">
        <f aca="false">E38+F38</f>
        <v>0.81</v>
      </c>
      <c r="J38" s="16" t="n">
        <f aca="false">C38*I38</f>
        <v>307.8</v>
      </c>
      <c r="K38" s="17" t="n">
        <f aca="false">IF(I38=0,"-",(G38-I38)/I38)</f>
        <v>0.395061728395062</v>
      </c>
    </row>
    <row r="39" customFormat="false" ht="15" hidden="false" customHeight="true" outlineLevel="0" collapsed="false">
      <c r="A39" s="12" t="n">
        <v>23</v>
      </c>
      <c r="B39" s="13" t="s">
        <v>75</v>
      </c>
      <c r="C39" s="14" t="n">
        <v>2500</v>
      </c>
      <c r="D39" s="12" t="s">
        <v>59</v>
      </c>
      <c r="E39" s="15" t="n">
        <v>0.08</v>
      </c>
      <c r="F39" s="15" t="n">
        <v>0.05</v>
      </c>
      <c r="G39" s="15" t="n">
        <v>0.17</v>
      </c>
      <c r="H39" s="16" t="n">
        <f aca="false">C39*G39</f>
        <v>425</v>
      </c>
      <c r="I39" s="16" t="n">
        <f aca="false">E39+F39</f>
        <v>0.13</v>
      </c>
      <c r="J39" s="16" t="n">
        <f aca="false">C39*I39</f>
        <v>325</v>
      </c>
      <c r="K39" s="17" t="n">
        <f aca="false">IF(I39=0,"-",(G39-I39)/I39)</f>
        <v>0.307692307692308</v>
      </c>
    </row>
    <row r="40" customFormat="false" ht="15" hidden="false" customHeight="true" outlineLevel="0" collapsed="false">
      <c r="A40" s="12" t="n">
        <v>24</v>
      </c>
      <c r="B40" s="13" t="s">
        <v>76</v>
      </c>
      <c r="C40" s="14" t="n">
        <v>35</v>
      </c>
      <c r="D40" s="12" t="s">
        <v>66</v>
      </c>
      <c r="E40" s="15" t="n">
        <v>23.8</v>
      </c>
      <c r="F40" s="15" t="n">
        <v>7.52</v>
      </c>
      <c r="G40" s="15" t="n">
        <v>40.86</v>
      </c>
      <c r="H40" s="16" t="n">
        <f aca="false">C40*G40</f>
        <v>1430.1</v>
      </c>
      <c r="I40" s="16" t="n">
        <f aca="false">E40+F40</f>
        <v>31.32</v>
      </c>
      <c r="J40" s="16" t="n">
        <f aca="false">C40*I40</f>
        <v>1096.2</v>
      </c>
      <c r="K40" s="17" t="n">
        <f aca="false">IF(I40=0,"-",(G40-I40)/I40)</f>
        <v>0.304597701149425</v>
      </c>
    </row>
    <row r="41" customFormat="false" ht="15" hidden="false" customHeight="true" outlineLevel="0" collapsed="false">
      <c r="A41" s="12" t="n">
        <v>25</v>
      </c>
      <c r="B41" s="13" t="s">
        <v>77</v>
      </c>
      <c r="C41" s="14" t="n">
        <v>2500</v>
      </c>
      <c r="D41" s="12" t="s">
        <v>59</v>
      </c>
      <c r="E41" s="15" t="n">
        <v>0.22</v>
      </c>
      <c r="F41" s="15" t="n">
        <v>0.09</v>
      </c>
      <c r="G41" s="15" t="n">
        <v>0.43</v>
      </c>
      <c r="H41" s="16" t="n">
        <f aca="false">C41*G41</f>
        <v>1075</v>
      </c>
      <c r="I41" s="16" t="n">
        <f aca="false">E41+F41</f>
        <v>0.31</v>
      </c>
      <c r="J41" s="16" t="n">
        <f aca="false">C41*I41</f>
        <v>775</v>
      </c>
      <c r="K41" s="17" t="n">
        <f aca="false">IF(I41=0,"-",(G41-I41)/I41)</f>
        <v>0.387096774193548</v>
      </c>
    </row>
    <row r="42" customFormat="false" ht="15" hidden="false" customHeight="true" outlineLevel="0" collapsed="false">
      <c r="A42" s="12" t="n">
        <v>26</v>
      </c>
      <c r="B42" s="13" t="s">
        <v>78</v>
      </c>
      <c r="C42" s="14" t="n">
        <v>32</v>
      </c>
      <c r="D42" s="12" t="s">
        <v>66</v>
      </c>
      <c r="E42" s="15" t="n">
        <v>90.82</v>
      </c>
      <c r="F42" s="15" t="n">
        <v>0</v>
      </c>
      <c r="G42" s="15" t="n">
        <v>119.17</v>
      </c>
      <c r="H42" s="16" t="n">
        <f aca="false">C42*G42</f>
        <v>3813.44</v>
      </c>
      <c r="I42" s="16" t="n">
        <f aca="false">E42+F42</f>
        <v>90.82</v>
      </c>
      <c r="J42" s="16" t="n">
        <f aca="false">C42*I42</f>
        <v>2906.24</v>
      </c>
      <c r="K42" s="17" t="n">
        <f aca="false">IF(I42=0,"-",(G42-I42)/I42)</f>
        <v>0.312155912794539</v>
      </c>
    </row>
    <row r="43" customFormat="false" ht="15" hidden="false" customHeight="true" outlineLevel="0" collapsed="false">
      <c r="A43" s="12" t="n">
        <v>27</v>
      </c>
      <c r="B43" s="13" t="s">
        <v>79</v>
      </c>
      <c r="C43" s="14" t="n">
        <v>2250</v>
      </c>
      <c r="D43" s="12" t="s">
        <v>59</v>
      </c>
      <c r="E43" s="15" t="n">
        <v>0</v>
      </c>
      <c r="F43" s="15" t="n">
        <v>1.16</v>
      </c>
      <c r="G43" s="15" t="n">
        <v>1.56</v>
      </c>
      <c r="H43" s="16" t="n">
        <f aca="false">C43*G43</f>
        <v>3510</v>
      </c>
      <c r="I43" s="16" t="n">
        <f aca="false">E43+F43</f>
        <v>1.16</v>
      </c>
      <c r="J43" s="16" t="n">
        <f aca="false">C43*I43</f>
        <v>2610</v>
      </c>
      <c r="K43" s="17" t="n">
        <f aca="false">IF(I43=0,"-",(G43-I43)/I43)</f>
        <v>0.344827586206897</v>
      </c>
    </row>
    <row r="44" customFormat="false" ht="15" hidden="false" customHeight="true" outlineLevel="0" collapsed="false">
      <c r="A44" s="12" t="n">
        <v>28</v>
      </c>
      <c r="B44" s="13" t="s">
        <v>80</v>
      </c>
      <c r="C44" s="14" t="n">
        <v>1</v>
      </c>
      <c r="D44" s="12" t="s">
        <v>47</v>
      </c>
      <c r="E44" s="15" t="n">
        <v>876.87</v>
      </c>
      <c r="F44" s="15" t="n">
        <v>0</v>
      </c>
      <c r="G44" s="15" t="n">
        <v>1021.42</v>
      </c>
      <c r="H44" s="16" t="n">
        <f aca="false">C44*G44</f>
        <v>1021.42</v>
      </c>
      <c r="I44" s="16" t="n">
        <f aca="false">E44+F44</f>
        <v>876.87</v>
      </c>
      <c r="J44" s="16" t="n">
        <f aca="false">C44*I44</f>
        <v>876.87</v>
      </c>
      <c r="K44" s="17" t="n">
        <f aca="false">IF(I44=0,"-",(G44-I44)/I44)</f>
        <v>0.164847696922007</v>
      </c>
    </row>
    <row r="45" customFormat="false" ht="15" hidden="false" customHeight="true" outlineLevel="0" collapsed="false">
      <c r="A45" s="12" t="n">
        <v>29</v>
      </c>
      <c r="B45" s="13" t="s">
        <v>81</v>
      </c>
      <c r="C45" s="14" t="n">
        <v>380</v>
      </c>
      <c r="D45" s="12" t="s">
        <v>63</v>
      </c>
      <c r="E45" s="15" t="n">
        <v>0.94</v>
      </c>
      <c r="F45" s="15" t="n">
        <v>0.78</v>
      </c>
      <c r="G45" s="15" t="n">
        <v>2.27</v>
      </c>
      <c r="H45" s="16" t="n">
        <f aca="false">C45*G45</f>
        <v>862.6</v>
      </c>
      <c r="I45" s="16" t="n">
        <f aca="false">E45+F45</f>
        <v>1.72</v>
      </c>
      <c r="J45" s="16" t="n">
        <f aca="false">C45*I45</f>
        <v>653.6</v>
      </c>
      <c r="K45" s="17" t="n">
        <f aca="false">IF(I45=0,"-",(G45-I45)/I45)</f>
        <v>0.319767441860465</v>
      </c>
    </row>
    <row r="46" customFormat="false" ht="15" hidden="false" customHeight="true" outlineLevel="0" collapsed="false">
      <c r="A46" s="12" t="n">
        <v>30</v>
      </c>
      <c r="B46" s="13" t="s">
        <v>82</v>
      </c>
      <c r="C46" s="14" t="n">
        <v>1</v>
      </c>
      <c r="D46" s="12" t="s">
        <v>45</v>
      </c>
      <c r="E46" s="15" t="n">
        <v>375.8</v>
      </c>
      <c r="F46" s="15" t="n">
        <v>501.07</v>
      </c>
      <c r="G46" s="15" t="n">
        <v>1134.91</v>
      </c>
      <c r="H46" s="16" t="n">
        <f aca="false">C46*G46</f>
        <v>1134.91</v>
      </c>
      <c r="I46" s="16" t="n">
        <f aca="false">E46+F46</f>
        <v>876.87</v>
      </c>
      <c r="J46" s="16" t="n">
        <f aca="false">C46*I46</f>
        <v>876.87</v>
      </c>
      <c r="K46" s="17" t="n">
        <f aca="false">IF(I46=0,"-",(G46-I46)/I46)</f>
        <v>0.294273951669005</v>
      </c>
    </row>
    <row r="47" customFormat="false" ht="15" hidden="false" customHeight="true" outlineLevel="0" collapsed="false">
      <c r="A47" s="18"/>
      <c r="B47" s="18" t="s">
        <v>83</v>
      </c>
      <c r="C47" s="18"/>
      <c r="D47" s="18"/>
      <c r="E47" s="18"/>
      <c r="F47" s="18"/>
      <c r="G47" s="18"/>
      <c r="H47" s="19" t="n">
        <f aca="false">SUM(H29:H46)</f>
        <v>30188.52</v>
      </c>
      <c r="I47" s="18"/>
      <c r="J47" s="19" t="n">
        <f aca="false">SUM(J29:J46)</f>
        <v>22988.73</v>
      </c>
      <c r="K47" s="18"/>
    </row>
    <row r="48" customFormat="false" ht="15" hidden="false" customHeight="false" outlineLevel="0" collapsed="false"/>
    <row r="49" customFormat="false" ht="15" hidden="false" customHeight="true" outlineLevel="0" collapsed="false">
      <c r="A49" s="10"/>
      <c r="B49" s="11" t="s">
        <v>84</v>
      </c>
      <c r="C49" s="11"/>
      <c r="D49" s="11"/>
      <c r="E49" s="11"/>
      <c r="F49" s="11"/>
      <c r="G49" s="11"/>
      <c r="H49" s="11"/>
      <c r="I49" s="11"/>
      <c r="J49" s="11"/>
      <c r="K49" s="11"/>
    </row>
    <row r="50" customFormat="false" ht="15" hidden="false" customHeight="true" outlineLevel="0" collapsed="false">
      <c r="A50" s="12" t="n">
        <v>31</v>
      </c>
      <c r="B50" s="13" t="s">
        <v>85</v>
      </c>
      <c r="C50" s="14" t="n">
        <v>1</v>
      </c>
      <c r="D50" s="12" t="s">
        <v>45</v>
      </c>
      <c r="E50" s="15" t="n">
        <v>17850.66</v>
      </c>
      <c r="F50" s="15" t="n">
        <v>0</v>
      </c>
      <c r="G50" s="15" t="n">
        <v>19860.95</v>
      </c>
      <c r="H50" s="16" t="n">
        <f aca="false">C50*G50</f>
        <v>19860.95</v>
      </c>
      <c r="I50" s="16" t="n">
        <f aca="false">E50+F50</f>
        <v>17850.66</v>
      </c>
      <c r="J50" s="16" t="n">
        <f aca="false">C50*I50</f>
        <v>17850.66</v>
      </c>
      <c r="K50" s="17" t="n">
        <f aca="false">IF(I50=0,"-",(G50-I50)/I50)</f>
        <v>0.112617124520886</v>
      </c>
    </row>
    <row r="51" customFormat="false" ht="15" hidden="false" customHeight="true" outlineLevel="0" collapsed="false">
      <c r="A51" s="12" t="n">
        <v>32</v>
      </c>
      <c r="B51" s="13" t="s">
        <v>86</v>
      </c>
      <c r="C51" s="14" t="n">
        <v>1</v>
      </c>
      <c r="D51" s="12" t="s">
        <v>45</v>
      </c>
      <c r="E51" s="15" t="n">
        <v>7829.24</v>
      </c>
      <c r="F51" s="15" t="n">
        <v>0</v>
      </c>
      <c r="G51" s="15" t="n">
        <v>8795.56</v>
      </c>
      <c r="H51" s="16" t="n">
        <f aca="false">C51*G51</f>
        <v>8795.56</v>
      </c>
      <c r="I51" s="16" t="n">
        <f aca="false">E51+F51</f>
        <v>7829.24</v>
      </c>
      <c r="J51" s="16" t="n">
        <f aca="false">C51*I51</f>
        <v>7829.24</v>
      </c>
      <c r="K51" s="17" t="n">
        <f aca="false">IF(I51=0,"-",(G51-I51)/I51)</f>
        <v>0.123424495864222</v>
      </c>
    </row>
    <row r="52" customFormat="false" ht="15" hidden="false" customHeight="true" outlineLevel="0" collapsed="false">
      <c r="A52" s="12" t="n">
        <v>33</v>
      </c>
      <c r="B52" s="13" t="s">
        <v>87</v>
      </c>
      <c r="C52" s="14" t="n">
        <v>3200</v>
      </c>
      <c r="D52" s="12" t="s">
        <v>59</v>
      </c>
      <c r="E52" s="15" t="n">
        <v>0.41</v>
      </c>
      <c r="F52" s="15" t="n">
        <v>0</v>
      </c>
      <c r="G52" s="15" t="n">
        <v>0.48</v>
      </c>
      <c r="H52" s="16" t="n">
        <f aca="false">C52*G52</f>
        <v>1536</v>
      </c>
      <c r="I52" s="16" t="n">
        <f aca="false">E52+F52</f>
        <v>0.41</v>
      </c>
      <c r="J52" s="16" t="n">
        <f aca="false">C52*I52</f>
        <v>1312</v>
      </c>
      <c r="K52" s="17" t="n">
        <f aca="false">IF(I52=0,"-",(G52-I52)/I52)</f>
        <v>0.170731707317073</v>
      </c>
    </row>
    <row r="53" customFormat="false" ht="15" hidden="false" customHeight="true" outlineLevel="0" collapsed="false">
      <c r="A53" s="12" t="n">
        <v>34</v>
      </c>
      <c r="B53" s="13" t="s">
        <v>88</v>
      </c>
      <c r="C53" s="14" t="n">
        <v>4200</v>
      </c>
      <c r="D53" s="12" t="s">
        <v>59</v>
      </c>
      <c r="E53" s="15" t="n">
        <v>0.41</v>
      </c>
      <c r="F53" s="15" t="n">
        <v>0</v>
      </c>
      <c r="G53" s="15" t="n">
        <v>0.48</v>
      </c>
      <c r="H53" s="16" t="n">
        <f aca="false">C53*G53</f>
        <v>2016</v>
      </c>
      <c r="I53" s="16" t="n">
        <f aca="false">E53+F53</f>
        <v>0.41</v>
      </c>
      <c r="J53" s="16" t="n">
        <f aca="false">C53*I53</f>
        <v>1722</v>
      </c>
      <c r="K53" s="17" t="n">
        <f aca="false">IF(I53=0,"-",(G53-I53)/I53)</f>
        <v>0.170731707317073</v>
      </c>
    </row>
    <row r="54" customFormat="false" ht="15" hidden="false" customHeight="true" outlineLevel="0" collapsed="false">
      <c r="A54" s="12" t="n">
        <v>35</v>
      </c>
      <c r="B54" s="13" t="s">
        <v>89</v>
      </c>
      <c r="C54" s="14" t="n">
        <v>2250</v>
      </c>
      <c r="D54" s="12" t="s">
        <v>59</v>
      </c>
      <c r="E54" s="15" t="n">
        <v>0</v>
      </c>
      <c r="F54" s="15" t="n">
        <v>5.32</v>
      </c>
      <c r="G54" s="15" t="n">
        <v>7.38</v>
      </c>
      <c r="H54" s="16" t="n">
        <f aca="false">C54*G54</f>
        <v>16605</v>
      </c>
      <c r="I54" s="16" t="n">
        <f aca="false">E54+F54</f>
        <v>5.32</v>
      </c>
      <c r="J54" s="16" t="n">
        <f aca="false">C54*I54</f>
        <v>11970</v>
      </c>
      <c r="K54" s="17" t="n">
        <f aca="false">IF(I54=0,"-",(G54-I54)/I54)</f>
        <v>0.387218045112782</v>
      </c>
    </row>
    <row r="55" customFormat="false" ht="15" hidden="false" customHeight="true" outlineLevel="0" collapsed="false">
      <c r="A55" s="12" t="n">
        <v>36</v>
      </c>
      <c r="B55" s="13" t="s">
        <v>90</v>
      </c>
      <c r="C55" s="14" t="n">
        <v>1</v>
      </c>
      <c r="D55" s="12" t="s">
        <v>45</v>
      </c>
      <c r="E55" s="15" t="n">
        <v>751.61</v>
      </c>
      <c r="F55" s="15" t="n">
        <v>1753.75</v>
      </c>
      <c r="G55" s="15" t="n">
        <v>3121.01</v>
      </c>
      <c r="H55" s="16" t="n">
        <f aca="false">C55*G55</f>
        <v>3121.01</v>
      </c>
      <c r="I55" s="16" t="n">
        <f aca="false">E55+F55</f>
        <v>2505.36</v>
      </c>
      <c r="J55" s="16" t="n">
        <f aca="false">C55*I55</f>
        <v>2505.36</v>
      </c>
      <c r="K55" s="17" t="n">
        <f aca="false">IF(I55=0,"-",(G55-I55)/I55)</f>
        <v>0.245733148130408</v>
      </c>
    </row>
    <row r="56" customFormat="false" ht="15" hidden="false" customHeight="true" outlineLevel="0" collapsed="false">
      <c r="A56" s="12" t="n">
        <v>37</v>
      </c>
      <c r="B56" s="13" t="s">
        <v>91</v>
      </c>
      <c r="C56" s="14" t="n">
        <v>576</v>
      </c>
      <c r="D56" s="12" t="s">
        <v>59</v>
      </c>
      <c r="E56" s="15" t="n">
        <v>4.07</v>
      </c>
      <c r="F56" s="15" t="n">
        <v>3.44</v>
      </c>
      <c r="G56" s="15" t="n">
        <v>9.08</v>
      </c>
      <c r="H56" s="16" t="n">
        <f aca="false">C56*G56</f>
        <v>5230.08</v>
      </c>
      <c r="I56" s="16" t="n">
        <f aca="false">E56+F56</f>
        <v>7.51</v>
      </c>
      <c r="J56" s="16" t="n">
        <f aca="false">C56*I56</f>
        <v>4325.76</v>
      </c>
      <c r="K56" s="17" t="n">
        <f aca="false">IF(I56=0,"-",(G56-I56)/I56)</f>
        <v>0.209054593874834</v>
      </c>
    </row>
    <row r="57" customFormat="false" ht="15" hidden="false" customHeight="true" outlineLevel="0" collapsed="false">
      <c r="A57" s="12" t="n">
        <v>38</v>
      </c>
      <c r="B57" s="13" t="s">
        <v>92</v>
      </c>
      <c r="C57" s="14" t="n">
        <v>192</v>
      </c>
      <c r="D57" s="12" t="s">
        <v>59</v>
      </c>
      <c r="E57" s="15" t="n">
        <v>5.01</v>
      </c>
      <c r="F57" s="15" t="n">
        <v>3.76</v>
      </c>
      <c r="G57" s="15" t="n">
        <v>10.5</v>
      </c>
      <c r="H57" s="16" t="n">
        <f aca="false">C57*G57</f>
        <v>2016</v>
      </c>
      <c r="I57" s="16" t="n">
        <f aca="false">E57+F57</f>
        <v>8.77</v>
      </c>
      <c r="J57" s="16" t="n">
        <f aca="false">C57*I57</f>
        <v>1683.84</v>
      </c>
      <c r="K57" s="17" t="n">
        <f aca="false">IF(I57=0,"-",(G57-I57)/I57)</f>
        <v>0.197263397947549</v>
      </c>
    </row>
    <row r="58" customFormat="false" ht="15" hidden="false" customHeight="true" outlineLevel="0" collapsed="false">
      <c r="A58" s="12" t="n">
        <v>39</v>
      </c>
      <c r="B58" s="13" t="s">
        <v>93</v>
      </c>
      <c r="C58" s="14" t="n">
        <v>420</v>
      </c>
      <c r="D58" s="12" t="s">
        <v>63</v>
      </c>
      <c r="E58" s="15" t="n">
        <v>1.41</v>
      </c>
      <c r="F58" s="15" t="n">
        <v>1.1</v>
      </c>
      <c r="G58" s="15" t="n">
        <v>3.12</v>
      </c>
      <c r="H58" s="16" t="n">
        <f aca="false">C58*G58</f>
        <v>1310.4</v>
      </c>
      <c r="I58" s="16" t="n">
        <f aca="false">E58+F58</f>
        <v>2.51</v>
      </c>
      <c r="J58" s="16" t="n">
        <f aca="false">C58*I58</f>
        <v>1054.2</v>
      </c>
      <c r="K58" s="17" t="n">
        <f aca="false">IF(I58=0,"-",(G58-I58)/I58)</f>
        <v>0.243027888446215</v>
      </c>
    </row>
    <row r="59" customFormat="false" ht="15" hidden="false" customHeight="true" outlineLevel="0" collapsed="false">
      <c r="A59" s="12" t="n">
        <v>40</v>
      </c>
      <c r="B59" s="13" t="s">
        <v>94</v>
      </c>
      <c r="C59" s="14" t="n">
        <v>1</v>
      </c>
      <c r="D59" s="12" t="s">
        <v>45</v>
      </c>
      <c r="E59" s="15" t="n">
        <v>1127.41</v>
      </c>
      <c r="F59" s="15" t="n">
        <v>0</v>
      </c>
      <c r="G59" s="15" t="n">
        <v>1361.89</v>
      </c>
      <c r="H59" s="16" t="n">
        <f aca="false">C59*G59</f>
        <v>1361.89</v>
      </c>
      <c r="I59" s="16" t="n">
        <f aca="false">E59+F59</f>
        <v>1127.41</v>
      </c>
      <c r="J59" s="16" t="n">
        <f aca="false">C59*I59</f>
        <v>1127.41</v>
      </c>
      <c r="K59" s="17" t="n">
        <f aca="false">IF(I59=0,"-",(G59-I59)/I59)</f>
        <v>0.207981124879148</v>
      </c>
    </row>
    <row r="60" customFormat="false" ht="15" hidden="false" customHeight="true" outlineLevel="0" collapsed="false">
      <c r="A60" s="18"/>
      <c r="B60" s="18" t="s">
        <v>95</v>
      </c>
      <c r="C60" s="18"/>
      <c r="D60" s="18"/>
      <c r="E60" s="18"/>
      <c r="F60" s="18"/>
      <c r="G60" s="18"/>
      <c r="H60" s="19" t="n">
        <f aca="false">SUM(H50:H59)</f>
        <v>61852.89</v>
      </c>
      <c r="I60" s="18"/>
      <c r="J60" s="19" t="n">
        <f aca="false">SUM(J50:J59)</f>
        <v>51380.47</v>
      </c>
      <c r="K60" s="18"/>
    </row>
    <row r="61" customFormat="false" ht="15" hidden="false" customHeight="false" outlineLevel="0" collapsed="false"/>
    <row r="62" customFormat="false" ht="15" hidden="false" customHeight="true" outlineLevel="0" collapsed="false">
      <c r="A62" s="10"/>
      <c r="B62" s="11" t="s">
        <v>96</v>
      </c>
      <c r="C62" s="11"/>
      <c r="D62" s="11"/>
      <c r="E62" s="11"/>
      <c r="F62" s="11"/>
      <c r="G62" s="11"/>
      <c r="H62" s="11"/>
      <c r="I62" s="11"/>
      <c r="J62" s="11"/>
      <c r="K62" s="11"/>
    </row>
    <row r="63" customFormat="false" ht="15" hidden="false" customHeight="true" outlineLevel="0" collapsed="false">
      <c r="A63" s="12" t="n">
        <v>41</v>
      </c>
      <c r="B63" s="13" t="s">
        <v>97</v>
      </c>
      <c r="C63" s="14" t="n">
        <v>36</v>
      </c>
      <c r="D63" s="12" t="s">
        <v>98</v>
      </c>
      <c r="E63" s="15" t="n">
        <v>34.45</v>
      </c>
      <c r="F63" s="15" t="n">
        <v>0</v>
      </c>
      <c r="G63" s="15" t="n">
        <v>44.26</v>
      </c>
      <c r="H63" s="16" t="n">
        <f aca="false">C63*G63</f>
        <v>1593.36</v>
      </c>
      <c r="I63" s="16" t="n">
        <f aca="false">E63+F63</f>
        <v>34.45</v>
      </c>
      <c r="J63" s="16" t="n">
        <f aca="false">C63*I63</f>
        <v>1240.2</v>
      </c>
      <c r="K63" s="17" t="n">
        <f aca="false">IF(I63=0,"-",(G63-I63)/I63)</f>
        <v>0.284760522496371</v>
      </c>
    </row>
    <row r="64" customFormat="false" ht="15" hidden="false" customHeight="true" outlineLevel="0" collapsed="false">
      <c r="A64" s="12" t="n">
        <v>42</v>
      </c>
      <c r="B64" s="13" t="s">
        <v>99</v>
      </c>
      <c r="C64" s="14" t="n">
        <v>6</v>
      </c>
      <c r="D64" s="12" t="s">
        <v>98</v>
      </c>
      <c r="E64" s="15" t="n">
        <v>59.5</v>
      </c>
      <c r="F64" s="15" t="n">
        <v>0</v>
      </c>
      <c r="G64" s="15" t="n">
        <v>76.61</v>
      </c>
      <c r="H64" s="16" t="n">
        <f aca="false">C64*G64</f>
        <v>459.66</v>
      </c>
      <c r="I64" s="16" t="n">
        <f aca="false">E64+F64</f>
        <v>59.5</v>
      </c>
      <c r="J64" s="16" t="n">
        <f aca="false">C64*I64</f>
        <v>357</v>
      </c>
      <c r="K64" s="17" t="n">
        <f aca="false">IF(I64=0,"-",(G64-I64)/I64)</f>
        <v>0.287563025210084</v>
      </c>
    </row>
    <row r="65" customFormat="false" ht="15" hidden="false" customHeight="true" outlineLevel="0" collapsed="false">
      <c r="A65" s="12" t="n">
        <v>43</v>
      </c>
      <c r="B65" s="13" t="s">
        <v>100</v>
      </c>
      <c r="C65" s="14" t="n">
        <v>500</v>
      </c>
      <c r="D65" s="12" t="s">
        <v>63</v>
      </c>
      <c r="E65" s="15" t="n">
        <v>0.78</v>
      </c>
      <c r="F65" s="15" t="n">
        <v>0.31</v>
      </c>
      <c r="G65" s="15" t="n">
        <v>1.42</v>
      </c>
      <c r="H65" s="16" t="n">
        <f aca="false">C65*G65</f>
        <v>710</v>
      </c>
      <c r="I65" s="16" t="n">
        <f aca="false">E65+F65</f>
        <v>1.09</v>
      </c>
      <c r="J65" s="16" t="n">
        <f aca="false">C65*I65</f>
        <v>545</v>
      </c>
      <c r="K65" s="17" t="n">
        <f aca="false">IF(I65=0,"-",(G65-I65)/I65)</f>
        <v>0.302752293577982</v>
      </c>
    </row>
    <row r="66" customFormat="false" ht="15" hidden="false" customHeight="true" outlineLevel="0" collapsed="false">
      <c r="A66" s="12" t="n">
        <v>44</v>
      </c>
      <c r="B66" s="13" t="s">
        <v>101</v>
      </c>
      <c r="C66" s="14" t="n">
        <v>32</v>
      </c>
      <c r="D66" s="12" t="s">
        <v>102</v>
      </c>
      <c r="E66" s="15" t="n">
        <v>26.31</v>
      </c>
      <c r="F66" s="15" t="n">
        <v>0</v>
      </c>
      <c r="G66" s="15" t="n">
        <v>35.18</v>
      </c>
      <c r="H66" s="16" t="n">
        <f aca="false">C66*G66</f>
        <v>1125.76</v>
      </c>
      <c r="I66" s="16" t="n">
        <f aca="false">E66+F66</f>
        <v>26.31</v>
      </c>
      <c r="J66" s="16" t="n">
        <f aca="false">C66*I66</f>
        <v>841.92</v>
      </c>
      <c r="K66" s="17" t="n">
        <f aca="false">IF(I66=0,"-",(G66-I66)/I66)</f>
        <v>0.337134169517294</v>
      </c>
    </row>
    <row r="67" customFormat="false" ht="15" hidden="false" customHeight="true" outlineLevel="0" collapsed="false">
      <c r="A67" s="12" t="n">
        <v>45</v>
      </c>
      <c r="B67" s="13" t="s">
        <v>103</v>
      </c>
      <c r="C67" s="14" t="n">
        <v>32</v>
      </c>
      <c r="D67" s="12" t="s">
        <v>104</v>
      </c>
      <c r="E67" s="15" t="n">
        <v>0</v>
      </c>
      <c r="F67" s="15" t="n">
        <v>46.98</v>
      </c>
      <c r="G67" s="15" t="n">
        <v>65.26</v>
      </c>
      <c r="H67" s="16" t="n">
        <f aca="false">C67*G67</f>
        <v>2088.32</v>
      </c>
      <c r="I67" s="16" t="n">
        <f aca="false">E67+F67</f>
        <v>46.98</v>
      </c>
      <c r="J67" s="16" t="n">
        <f aca="false">C67*I67</f>
        <v>1503.36</v>
      </c>
      <c r="K67" s="17" t="n">
        <f aca="false">IF(I67=0,"-",(G67-I67)/I67)</f>
        <v>0.389101745423585</v>
      </c>
    </row>
    <row r="68" customFormat="false" ht="15" hidden="false" customHeight="true" outlineLevel="0" collapsed="false">
      <c r="A68" s="12" t="n">
        <v>46</v>
      </c>
      <c r="B68" s="13" t="s">
        <v>105</v>
      </c>
      <c r="C68" s="14" t="n">
        <v>65</v>
      </c>
      <c r="D68" s="12" t="s">
        <v>63</v>
      </c>
      <c r="E68" s="15" t="n">
        <v>2.82</v>
      </c>
      <c r="F68" s="15" t="n">
        <v>1.25</v>
      </c>
      <c r="G68" s="15" t="n">
        <v>5.39</v>
      </c>
      <c r="H68" s="16" t="n">
        <f aca="false">C68*G68</f>
        <v>350.35</v>
      </c>
      <c r="I68" s="16" t="n">
        <f aca="false">E68+F68</f>
        <v>4.07</v>
      </c>
      <c r="J68" s="16" t="n">
        <f aca="false">C68*I68</f>
        <v>264.55</v>
      </c>
      <c r="K68" s="17" t="n">
        <f aca="false">IF(I68=0,"-",(G68-I68)/I68)</f>
        <v>0.324324324324324</v>
      </c>
    </row>
    <row r="69" customFormat="false" ht="15" hidden="false" customHeight="true" outlineLevel="0" collapsed="false">
      <c r="A69" s="12" t="n">
        <v>47</v>
      </c>
      <c r="B69" s="13" t="s">
        <v>106</v>
      </c>
      <c r="C69" s="14" t="n">
        <v>1</v>
      </c>
      <c r="D69" s="12" t="s">
        <v>45</v>
      </c>
      <c r="E69" s="15" t="n">
        <v>219.22</v>
      </c>
      <c r="F69" s="15" t="n">
        <v>156.58</v>
      </c>
      <c r="G69" s="15" t="n">
        <v>482.34</v>
      </c>
      <c r="H69" s="16" t="n">
        <f aca="false">C69*G69</f>
        <v>482.34</v>
      </c>
      <c r="I69" s="16" t="n">
        <f aca="false">E69+F69</f>
        <v>375.8</v>
      </c>
      <c r="J69" s="16" t="n">
        <f aca="false">C69*I69</f>
        <v>375.8</v>
      </c>
      <c r="K69" s="17" t="n">
        <f aca="false">IF(I69=0,"-",(G69-I69)/I69)</f>
        <v>0.283501862692922</v>
      </c>
    </row>
    <row r="70" customFormat="false" ht="15" hidden="false" customHeight="true" outlineLevel="0" collapsed="false">
      <c r="A70" s="12" t="n">
        <v>48</v>
      </c>
      <c r="B70" s="13" t="s">
        <v>107</v>
      </c>
      <c r="C70" s="14" t="n">
        <v>6</v>
      </c>
      <c r="D70" s="12" t="s">
        <v>47</v>
      </c>
      <c r="E70" s="15" t="n">
        <v>11.27</v>
      </c>
      <c r="F70" s="15" t="n">
        <v>9.4</v>
      </c>
      <c r="G70" s="15" t="n">
        <v>28.37</v>
      </c>
      <c r="H70" s="16" t="n">
        <f aca="false">C70*G70</f>
        <v>170.22</v>
      </c>
      <c r="I70" s="16" t="n">
        <f aca="false">E70+F70</f>
        <v>20.67</v>
      </c>
      <c r="J70" s="16" t="n">
        <f aca="false">C70*I70</f>
        <v>124.02</v>
      </c>
      <c r="K70" s="17" t="n">
        <f aca="false">IF(I70=0,"-",(G70-I70)/I70)</f>
        <v>0.372520561199806</v>
      </c>
    </row>
    <row r="71" customFormat="false" ht="15" hidden="false" customHeight="true" outlineLevel="0" collapsed="false">
      <c r="A71" s="12" t="n">
        <v>49</v>
      </c>
      <c r="B71" s="13" t="s">
        <v>108</v>
      </c>
      <c r="C71" s="14" t="n">
        <v>220</v>
      </c>
      <c r="D71" s="12" t="s">
        <v>63</v>
      </c>
      <c r="E71" s="15" t="n">
        <v>2.82</v>
      </c>
      <c r="F71" s="15" t="n">
        <v>2.19</v>
      </c>
      <c r="G71" s="15" t="n">
        <v>6.81</v>
      </c>
      <c r="H71" s="16" t="n">
        <f aca="false">C71*G71</f>
        <v>1498.2</v>
      </c>
      <c r="I71" s="16" t="n">
        <f aca="false">E71+F71</f>
        <v>5.01</v>
      </c>
      <c r="J71" s="16" t="n">
        <f aca="false">C71*I71</f>
        <v>1102.2</v>
      </c>
      <c r="K71" s="17" t="n">
        <f aca="false">IF(I71=0,"-",(G71-I71)/I71)</f>
        <v>0.359281437125749</v>
      </c>
    </row>
    <row r="72" customFormat="false" ht="15" hidden="false" customHeight="true" outlineLevel="0" collapsed="false">
      <c r="A72" s="12" t="n">
        <v>50</v>
      </c>
      <c r="B72" s="13" t="s">
        <v>109</v>
      </c>
      <c r="C72" s="14" t="n">
        <v>8</v>
      </c>
      <c r="D72" s="12" t="s">
        <v>47</v>
      </c>
      <c r="E72" s="15" t="n">
        <v>21.92</v>
      </c>
      <c r="F72" s="15" t="n">
        <v>15.66</v>
      </c>
      <c r="G72" s="15" t="n">
        <v>48.23</v>
      </c>
      <c r="H72" s="16" t="n">
        <f aca="false">C72*G72</f>
        <v>385.84</v>
      </c>
      <c r="I72" s="16" t="n">
        <f aca="false">E72+F72</f>
        <v>37.58</v>
      </c>
      <c r="J72" s="16" t="n">
        <f aca="false">C72*I72</f>
        <v>300.64</v>
      </c>
      <c r="K72" s="17" t="n">
        <f aca="false">IF(I72=0,"-",(G72-I72)/I72)</f>
        <v>0.283395423097392</v>
      </c>
    </row>
    <row r="73" customFormat="false" ht="15" hidden="false" customHeight="true" outlineLevel="0" collapsed="false">
      <c r="A73" s="18"/>
      <c r="B73" s="18" t="s">
        <v>110</v>
      </c>
      <c r="C73" s="18"/>
      <c r="D73" s="18"/>
      <c r="E73" s="18"/>
      <c r="F73" s="18"/>
      <c r="G73" s="18"/>
      <c r="H73" s="19" t="n">
        <f aca="false">SUM(H63:H72)</f>
        <v>8864.05</v>
      </c>
      <c r="I73" s="18"/>
      <c r="J73" s="19" t="n">
        <f aca="false">SUM(J63:J72)</f>
        <v>6654.69</v>
      </c>
      <c r="K73" s="18"/>
    </row>
    <row r="74" customFormat="false" ht="15" hidden="false" customHeight="false" outlineLevel="0" collapsed="false"/>
    <row r="75" customFormat="false" ht="15" hidden="false" customHeight="true" outlineLevel="0" collapsed="false">
      <c r="A75" s="10"/>
      <c r="B75" s="11" t="s">
        <v>111</v>
      </c>
      <c r="C75" s="11"/>
      <c r="D75" s="11"/>
      <c r="E75" s="11"/>
      <c r="F75" s="11"/>
      <c r="G75" s="11"/>
      <c r="H75" s="11"/>
      <c r="I75" s="11"/>
      <c r="J75" s="11"/>
      <c r="K75" s="11"/>
    </row>
    <row r="76" customFormat="false" ht="15" hidden="false" customHeight="true" outlineLevel="0" collapsed="false">
      <c r="A76" s="12" t="n">
        <v>51</v>
      </c>
      <c r="B76" s="13" t="s">
        <v>112</v>
      </c>
      <c r="C76" s="14" t="n">
        <v>1400</v>
      </c>
      <c r="D76" s="12" t="s">
        <v>59</v>
      </c>
      <c r="E76" s="15" t="n">
        <v>4.07</v>
      </c>
      <c r="F76" s="15" t="n">
        <v>5.01</v>
      </c>
      <c r="G76" s="15" t="n">
        <v>11.35</v>
      </c>
      <c r="H76" s="16" t="n">
        <f aca="false">C76*G76</f>
        <v>15890</v>
      </c>
      <c r="I76" s="16" t="n">
        <f aca="false">E76+F76</f>
        <v>9.08</v>
      </c>
      <c r="J76" s="16" t="n">
        <f aca="false">C76*I76</f>
        <v>12712</v>
      </c>
      <c r="K76" s="17" t="n">
        <f aca="false">IF(I76=0,"-",(G76-I76)/I76)</f>
        <v>0.25</v>
      </c>
    </row>
    <row r="77" customFormat="false" ht="15" hidden="false" customHeight="true" outlineLevel="0" collapsed="false">
      <c r="A77" s="12" t="n">
        <v>52</v>
      </c>
      <c r="B77" s="13" t="s">
        <v>113</v>
      </c>
      <c r="C77" s="14" t="n">
        <v>2000</v>
      </c>
      <c r="D77" s="12" t="s">
        <v>59</v>
      </c>
      <c r="E77" s="15" t="n">
        <v>2.04</v>
      </c>
      <c r="F77" s="15" t="n">
        <v>2.19</v>
      </c>
      <c r="G77" s="15" t="n">
        <v>5.39</v>
      </c>
      <c r="H77" s="16" t="n">
        <f aca="false">C77*G77</f>
        <v>10780</v>
      </c>
      <c r="I77" s="16" t="n">
        <f aca="false">E77+F77</f>
        <v>4.23</v>
      </c>
      <c r="J77" s="16" t="n">
        <f aca="false">C77*I77</f>
        <v>8460</v>
      </c>
      <c r="K77" s="17" t="n">
        <f aca="false">IF(I77=0,"-",(G77-I77)/I77)</f>
        <v>0.274231678486997</v>
      </c>
    </row>
    <row r="78" customFormat="false" ht="15" hidden="false" customHeight="true" outlineLevel="0" collapsed="false">
      <c r="A78" s="12" t="n">
        <v>53</v>
      </c>
      <c r="B78" s="13" t="s">
        <v>114</v>
      </c>
      <c r="C78" s="14" t="n">
        <v>600</v>
      </c>
      <c r="D78" s="12" t="s">
        <v>63</v>
      </c>
      <c r="E78" s="15" t="n">
        <v>1.57</v>
      </c>
      <c r="F78" s="15" t="n">
        <v>1.41</v>
      </c>
      <c r="G78" s="15" t="n">
        <v>3.69</v>
      </c>
      <c r="H78" s="16" t="n">
        <f aca="false">C78*G78</f>
        <v>2214</v>
      </c>
      <c r="I78" s="16" t="n">
        <f aca="false">E78+F78</f>
        <v>2.98</v>
      </c>
      <c r="J78" s="16" t="n">
        <f aca="false">C78*I78</f>
        <v>1788</v>
      </c>
      <c r="K78" s="17" t="n">
        <f aca="false">IF(I78=0,"-",(G78-I78)/I78)</f>
        <v>0.238255033557047</v>
      </c>
    </row>
    <row r="79" customFormat="false" ht="15" hidden="false" customHeight="true" outlineLevel="0" collapsed="false">
      <c r="A79" s="12" t="n">
        <v>54</v>
      </c>
      <c r="B79" s="13" t="s">
        <v>115</v>
      </c>
      <c r="C79" s="14" t="n">
        <v>4200</v>
      </c>
      <c r="D79" s="12" t="s">
        <v>59</v>
      </c>
      <c r="E79" s="15" t="n">
        <v>0.11</v>
      </c>
      <c r="F79" s="15" t="n">
        <v>0.08</v>
      </c>
      <c r="G79" s="15" t="n">
        <v>0.26</v>
      </c>
      <c r="H79" s="16" t="n">
        <f aca="false">C79*G79</f>
        <v>1092</v>
      </c>
      <c r="I79" s="16" t="n">
        <f aca="false">E79+F79</f>
        <v>0.19</v>
      </c>
      <c r="J79" s="16" t="n">
        <f aca="false">C79*I79</f>
        <v>798</v>
      </c>
      <c r="K79" s="17" t="n">
        <f aca="false">IF(I79=0,"-",(G79-I79)/I79)</f>
        <v>0.368421052631579</v>
      </c>
    </row>
    <row r="80" customFormat="false" ht="15" hidden="false" customHeight="true" outlineLevel="0" collapsed="false">
      <c r="A80" s="12" t="n">
        <v>55</v>
      </c>
      <c r="B80" s="13" t="s">
        <v>116</v>
      </c>
      <c r="C80" s="14" t="n">
        <v>2600</v>
      </c>
      <c r="D80" s="12" t="s">
        <v>59</v>
      </c>
      <c r="E80" s="15" t="n">
        <v>0.41</v>
      </c>
      <c r="F80" s="15" t="n">
        <v>0.78</v>
      </c>
      <c r="G80" s="15" t="n">
        <v>1.56</v>
      </c>
      <c r="H80" s="16" t="n">
        <f aca="false">C80*G80</f>
        <v>4056</v>
      </c>
      <c r="I80" s="16" t="n">
        <f aca="false">E80+F80</f>
        <v>1.19</v>
      </c>
      <c r="J80" s="16" t="n">
        <f aca="false">C80*I80</f>
        <v>3094</v>
      </c>
      <c r="K80" s="17" t="n">
        <f aca="false">IF(I80=0,"-",(G80-I80)/I80)</f>
        <v>0.310924369747899</v>
      </c>
    </row>
    <row r="81" customFormat="false" ht="15" hidden="false" customHeight="true" outlineLevel="0" collapsed="false">
      <c r="A81" s="12" t="n">
        <v>56</v>
      </c>
      <c r="B81" s="13" t="s">
        <v>117</v>
      </c>
      <c r="C81" s="14" t="n">
        <v>1</v>
      </c>
      <c r="D81" s="12" t="s">
        <v>45</v>
      </c>
      <c r="E81" s="15" t="n">
        <v>1377.95</v>
      </c>
      <c r="F81" s="15" t="n">
        <v>0</v>
      </c>
      <c r="G81" s="15" t="n">
        <v>1588.88</v>
      </c>
      <c r="H81" s="16" t="n">
        <f aca="false">C81*G81</f>
        <v>1588.88</v>
      </c>
      <c r="I81" s="16" t="n">
        <f aca="false">E81+F81</f>
        <v>1377.95</v>
      </c>
      <c r="J81" s="16" t="n">
        <f aca="false">C81*I81</f>
        <v>1377.95</v>
      </c>
      <c r="K81" s="17" t="n">
        <f aca="false">IF(I81=0,"-",(G81-I81)/I81)</f>
        <v>0.153075220436155</v>
      </c>
    </row>
    <row r="82" customFormat="false" ht="15" hidden="false" customHeight="true" outlineLevel="0" collapsed="false">
      <c r="A82" s="12" t="n">
        <v>57</v>
      </c>
      <c r="B82" s="13" t="s">
        <v>118</v>
      </c>
      <c r="C82" s="14" t="n">
        <v>80</v>
      </c>
      <c r="D82" s="12" t="s">
        <v>59</v>
      </c>
      <c r="E82" s="15" t="n">
        <v>7.52</v>
      </c>
      <c r="F82" s="15" t="n">
        <v>6.26</v>
      </c>
      <c r="G82" s="15" t="n">
        <v>18.16</v>
      </c>
      <c r="H82" s="16" t="n">
        <f aca="false">C82*G82</f>
        <v>1452.8</v>
      </c>
      <c r="I82" s="16" t="n">
        <f aca="false">E82+F82</f>
        <v>13.78</v>
      </c>
      <c r="J82" s="16" t="n">
        <f aca="false">C82*I82</f>
        <v>1102.4</v>
      </c>
      <c r="K82" s="17" t="n">
        <f aca="false">IF(I82=0,"-",(G82-I82)/I82)</f>
        <v>0.317851959361393</v>
      </c>
    </row>
    <row r="83" customFormat="false" ht="15" hidden="false" customHeight="true" outlineLevel="0" collapsed="false">
      <c r="A83" s="12" t="n">
        <v>58</v>
      </c>
      <c r="B83" s="13" t="s">
        <v>119</v>
      </c>
      <c r="C83" s="14" t="n">
        <v>420</v>
      </c>
      <c r="D83" s="12" t="s">
        <v>63</v>
      </c>
      <c r="E83" s="15" t="n">
        <v>2.19</v>
      </c>
      <c r="F83" s="15" t="n">
        <v>1.57</v>
      </c>
      <c r="G83" s="15" t="n">
        <v>4.82</v>
      </c>
      <c r="H83" s="16" t="n">
        <f aca="false">C83*G83</f>
        <v>2024.4</v>
      </c>
      <c r="I83" s="16" t="n">
        <f aca="false">E83+F83</f>
        <v>3.76</v>
      </c>
      <c r="J83" s="16" t="n">
        <f aca="false">C83*I83</f>
        <v>1579.2</v>
      </c>
      <c r="K83" s="17" t="n">
        <f aca="false">IF(I83=0,"-",(G83-I83)/I83)</f>
        <v>0.281914893617021</v>
      </c>
    </row>
    <row r="84" customFormat="false" ht="15" hidden="false" customHeight="true" outlineLevel="0" collapsed="false">
      <c r="A84" s="12" t="n">
        <v>59</v>
      </c>
      <c r="B84" s="13" t="s">
        <v>120</v>
      </c>
      <c r="C84" s="14" t="n">
        <v>420</v>
      </c>
      <c r="D84" s="12" t="s">
        <v>63</v>
      </c>
      <c r="E84" s="15" t="n">
        <v>1.57</v>
      </c>
      <c r="F84" s="15" t="n">
        <v>1.25</v>
      </c>
      <c r="G84" s="15" t="n">
        <v>3.4</v>
      </c>
      <c r="H84" s="16" t="n">
        <f aca="false">C84*G84</f>
        <v>1428</v>
      </c>
      <c r="I84" s="16" t="n">
        <f aca="false">E84+F84</f>
        <v>2.82</v>
      </c>
      <c r="J84" s="16" t="n">
        <f aca="false">C84*I84</f>
        <v>1184.4</v>
      </c>
      <c r="K84" s="17" t="n">
        <f aca="false">IF(I84=0,"-",(G84-I84)/I84)</f>
        <v>0.205673758865248</v>
      </c>
    </row>
    <row r="85" customFormat="false" ht="15" hidden="false" customHeight="true" outlineLevel="0" collapsed="false">
      <c r="A85" s="18"/>
      <c r="B85" s="18" t="s">
        <v>121</v>
      </c>
      <c r="C85" s="18"/>
      <c r="D85" s="18"/>
      <c r="E85" s="18"/>
      <c r="F85" s="18"/>
      <c r="G85" s="18"/>
      <c r="H85" s="19" t="n">
        <f aca="false">SUM(H76:H84)</f>
        <v>40526.08</v>
      </c>
      <c r="I85" s="18"/>
      <c r="J85" s="19" t="n">
        <f aca="false">SUM(J76:J84)</f>
        <v>32095.95</v>
      </c>
      <c r="K85" s="18"/>
    </row>
    <row r="86" customFormat="false" ht="15" hidden="false" customHeight="false" outlineLevel="0" collapsed="false"/>
    <row r="87" customFormat="false" ht="15" hidden="false" customHeight="true" outlineLevel="0" collapsed="false">
      <c r="A87" s="10"/>
      <c r="B87" s="11" t="s">
        <v>122</v>
      </c>
      <c r="C87" s="11"/>
      <c r="D87" s="11"/>
      <c r="E87" s="11"/>
      <c r="F87" s="11"/>
      <c r="G87" s="11"/>
      <c r="H87" s="11"/>
      <c r="I87" s="11"/>
      <c r="J87" s="11"/>
      <c r="K87" s="11"/>
    </row>
    <row r="88" customFormat="false" ht="15" hidden="false" customHeight="true" outlineLevel="0" collapsed="false">
      <c r="A88" s="12" t="n">
        <v>60</v>
      </c>
      <c r="B88" s="13" t="s">
        <v>123</v>
      </c>
      <c r="C88" s="14" t="n">
        <v>18</v>
      </c>
      <c r="D88" s="12" t="s">
        <v>47</v>
      </c>
      <c r="E88" s="15" t="n">
        <v>266.19</v>
      </c>
      <c r="F88" s="15" t="n">
        <v>53.24</v>
      </c>
      <c r="G88" s="15" t="n">
        <v>425.59</v>
      </c>
      <c r="H88" s="16" t="n">
        <f aca="false">C88*G88</f>
        <v>7660.62</v>
      </c>
      <c r="I88" s="16" t="n">
        <f aca="false">E88+F88</f>
        <v>319.43</v>
      </c>
      <c r="J88" s="16" t="n">
        <f aca="false">C88*I88</f>
        <v>5749.74</v>
      </c>
      <c r="K88" s="17" t="n">
        <f aca="false">IF(I88=0,"-",(G88-I88)/I88)</f>
        <v>0.332341984159284</v>
      </c>
    </row>
    <row r="89" customFormat="false" ht="15" hidden="false" customHeight="true" outlineLevel="0" collapsed="false">
      <c r="A89" s="12" t="n">
        <v>61</v>
      </c>
      <c r="B89" s="13" t="s">
        <v>124</v>
      </c>
      <c r="C89" s="14" t="n">
        <v>1</v>
      </c>
      <c r="D89" s="12" t="s">
        <v>47</v>
      </c>
      <c r="E89" s="15" t="n">
        <v>1127.41</v>
      </c>
      <c r="F89" s="15" t="n">
        <v>156.58</v>
      </c>
      <c r="G89" s="15" t="n">
        <v>1702.37</v>
      </c>
      <c r="H89" s="16" t="n">
        <f aca="false">C89*G89</f>
        <v>1702.37</v>
      </c>
      <c r="I89" s="16" t="n">
        <f aca="false">E89+F89</f>
        <v>1283.99</v>
      </c>
      <c r="J89" s="16" t="n">
        <f aca="false">C89*I89</f>
        <v>1283.99</v>
      </c>
      <c r="K89" s="17" t="n">
        <f aca="false">IF(I89=0,"-",(G89-I89)/I89)</f>
        <v>0.32584365921853</v>
      </c>
    </row>
    <row r="90" customFormat="false" ht="15" hidden="false" customHeight="true" outlineLevel="0" collapsed="false">
      <c r="A90" s="12" t="n">
        <v>62</v>
      </c>
      <c r="B90" s="13" t="s">
        <v>125</v>
      </c>
      <c r="C90" s="14" t="n">
        <v>1</v>
      </c>
      <c r="D90" s="12" t="s">
        <v>47</v>
      </c>
      <c r="E90" s="15" t="n">
        <v>407.12</v>
      </c>
      <c r="F90" s="15" t="n">
        <v>125.27</v>
      </c>
      <c r="G90" s="15" t="n">
        <v>680.95</v>
      </c>
      <c r="H90" s="16" t="n">
        <f aca="false">C90*G90</f>
        <v>680.95</v>
      </c>
      <c r="I90" s="16" t="n">
        <f aca="false">E90+F90</f>
        <v>532.39</v>
      </c>
      <c r="J90" s="16" t="n">
        <f aca="false">C90*I90</f>
        <v>532.39</v>
      </c>
      <c r="K90" s="17" t="n">
        <f aca="false">IF(I90=0,"-",(G90-I90)/I90)</f>
        <v>0.279043558293732</v>
      </c>
    </row>
    <row r="91" customFormat="false" ht="15" hidden="false" customHeight="true" outlineLevel="0" collapsed="false">
      <c r="A91" s="12" t="n">
        <v>63</v>
      </c>
      <c r="B91" s="13" t="s">
        <v>126</v>
      </c>
      <c r="C91" s="14" t="n">
        <v>1</v>
      </c>
      <c r="D91" s="12" t="s">
        <v>47</v>
      </c>
      <c r="E91" s="15" t="n">
        <v>219.22</v>
      </c>
      <c r="F91" s="15" t="n">
        <v>93.95</v>
      </c>
      <c r="G91" s="15" t="n">
        <v>397.22</v>
      </c>
      <c r="H91" s="16" t="n">
        <f aca="false">C91*G91</f>
        <v>397.22</v>
      </c>
      <c r="I91" s="16" t="n">
        <f aca="false">E91+F91</f>
        <v>313.17</v>
      </c>
      <c r="J91" s="16" t="n">
        <f aca="false">C91*I91</f>
        <v>313.17</v>
      </c>
      <c r="K91" s="17" t="n">
        <f aca="false">IF(I91=0,"-",(G91-I91)/I91)</f>
        <v>0.268384583453077</v>
      </c>
    </row>
    <row r="92" customFormat="false" ht="15" hidden="false" customHeight="true" outlineLevel="0" collapsed="false">
      <c r="A92" s="12" t="n">
        <v>64</v>
      </c>
      <c r="B92" s="13" t="s">
        <v>127</v>
      </c>
      <c r="C92" s="14" t="n">
        <v>1</v>
      </c>
      <c r="D92" s="12" t="s">
        <v>47</v>
      </c>
      <c r="E92" s="15" t="n">
        <v>751.61</v>
      </c>
      <c r="F92" s="15" t="n">
        <v>156.58</v>
      </c>
      <c r="G92" s="15" t="n">
        <v>1248.4</v>
      </c>
      <c r="H92" s="16" t="n">
        <f aca="false">C92*G92</f>
        <v>1248.4</v>
      </c>
      <c r="I92" s="16" t="n">
        <f aca="false">E92+F92</f>
        <v>908.19</v>
      </c>
      <c r="J92" s="16" t="n">
        <f aca="false">C92*I92</f>
        <v>908.19</v>
      </c>
      <c r="K92" s="17" t="n">
        <f aca="false">IF(I92=0,"-",(G92-I92)/I92)</f>
        <v>0.374602230810733</v>
      </c>
    </row>
    <row r="93" customFormat="false" ht="15" hidden="false" customHeight="true" outlineLevel="0" collapsed="false">
      <c r="A93" s="12" t="n">
        <v>65</v>
      </c>
      <c r="B93" s="13" t="s">
        <v>128</v>
      </c>
      <c r="C93" s="14" t="n">
        <v>2</v>
      </c>
      <c r="D93" s="12" t="s">
        <v>47</v>
      </c>
      <c r="E93" s="15" t="n">
        <v>688.97</v>
      </c>
      <c r="F93" s="15" t="n">
        <v>156.58</v>
      </c>
      <c r="G93" s="15" t="n">
        <v>1106.54</v>
      </c>
      <c r="H93" s="16" t="n">
        <f aca="false">C93*G93</f>
        <v>2213.08</v>
      </c>
      <c r="I93" s="16" t="n">
        <f aca="false">E93+F93</f>
        <v>845.55</v>
      </c>
      <c r="J93" s="16" t="n">
        <f aca="false">C93*I93</f>
        <v>1691.1</v>
      </c>
      <c r="K93" s="17" t="n">
        <f aca="false">IF(I93=0,"-",(G93-I93)/I93)</f>
        <v>0.308663000413932</v>
      </c>
    </row>
    <row r="94" customFormat="false" ht="15" hidden="false" customHeight="true" outlineLevel="0" collapsed="false">
      <c r="A94" s="12" t="n">
        <v>66</v>
      </c>
      <c r="B94" s="13" t="s">
        <v>129</v>
      </c>
      <c r="C94" s="14" t="n">
        <v>2</v>
      </c>
      <c r="D94" s="12" t="s">
        <v>47</v>
      </c>
      <c r="E94" s="15" t="n">
        <v>219.22</v>
      </c>
      <c r="F94" s="15" t="n">
        <v>78.29</v>
      </c>
      <c r="G94" s="15" t="n">
        <v>368.85</v>
      </c>
      <c r="H94" s="16" t="n">
        <f aca="false">C94*G94</f>
        <v>737.7</v>
      </c>
      <c r="I94" s="16" t="n">
        <f aca="false">E94+F94</f>
        <v>297.51</v>
      </c>
      <c r="J94" s="16" t="n">
        <f aca="false">C94*I94</f>
        <v>595.02</v>
      </c>
      <c r="K94" s="17" t="n">
        <f aca="false">IF(I94=0,"-",(G94-I94)/I94)</f>
        <v>0.239790259150953</v>
      </c>
    </row>
    <row r="95" customFormat="false" ht="15" hidden="false" customHeight="true" outlineLevel="0" collapsed="false">
      <c r="A95" s="12" t="n">
        <v>67</v>
      </c>
      <c r="B95" s="13" t="s">
        <v>130</v>
      </c>
      <c r="C95" s="14" t="n">
        <v>1</v>
      </c>
      <c r="D95" s="12" t="s">
        <v>45</v>
      </c>
      <c r="E95" s="15" t="n">
        <v>281.85</v>
      </c>
      <c r="F95" s="15" t="n">
        <v>125.27</v>
      </c>
      <c r="G95" s="15" t="n">
        <v>539.08</v>
      </c>
      <c r="H95" s="16" t="n">
        <f aca="false">C95*G95</f>
        <v>539.08</v>
      </c>
      <c r="I95" s="16" t="n">
        <f aca="false">E95+F95</f>
        <v>407.12</v>
      </c>
      <c r="J95" s="16" t="n">
        <f aca="false">C95*I95</f>
        <v>407.12</v>
      </c>
      <c r="K95" s="17" t="n">
        <f aca="false">IF(I95=0,"-",(G95-I95)/I95)</f>
        <v>0.324130477500491</v>
      </c>
    </row>
    <row r="96" customFormat="false" ht="15" hidden="false" customHeight="true" outlineLevel="0" collapsed="false">
      <c r="A96" s="18"/>
      <c r="B96" s="18" t="s">
        <v>131</v>
      </c>
      <c r="C96" s="18"/>
      <c r="D96" s="18"/>
      <c r="E96" s="18"/>
      <c r="F96" s="18"/>
      <c r="G96" s="18"/>
      <c r="H96" s="19" t="n">
        <f aca="false">SUM(H88:H95)</f>
        <v>15179.42</v>
      </c>
      <c r="I96" s="18"/>
      <c r="J96" s="19" t="n">
        <f aca="false">SUM(J88:J95)</f>
        <v>11480.72</v>
      </c>
      <c r="K96" s="18"/>
    </row>
    <row r="97" customFormat="false" ht="15" hidden="false" customHeight="false" outlineLevel="0" collapsed="false"/>
    <row r="98" customFormat="false" ht="15" hidden="false" customHeight="true" outlineLevel="0" collapsed="false">
      <c r="A98" s="10"/>
      <c r="B98" s="11" t="s">
        <v>132</v>
      </c>
      <c r="C98" s="11"/>
      <c r="D98" s="11"/>
      <c r="E98" s="11"/>
      <c r="F98" s="11"/>
      <c r="G98" s="11"/>
      <c r="H98" s="11"/>
      <c r="I98" s="11"/>
      <c r="J98" s="11"/>
      <c r="K98" s="11"/>
    </row>
    <row r="99" customFormat="false" ht="15" hidden="false" customHeight="true" outlineLevel="0" collapsed="false">
      <c r="A99" s="12" t="n">
        <v>68</v>
      </c>
      <c r="B99" s="13" t="s">
        <v>133</v>
      </c>
      <c r="C99" s="14" t="n">
        <v>3800</v>
      </c>
      <c r="D99" s="12" t="s">
        <v>59</v>
      </c>
      <c r="E99" s="15" t="n">
        <v>0.41</v>
      </c>
      <c r="F99" s="15" t="n">
        <v>0.28</v>
      </c>
      <c r="G99" s="15" t="n">
        <v>0.91</v>
      </c>
      <c r="H99" s="16" t="n">
        <f aca="false">C99*G99</f>
        <v>3458</v>
      </c>
      <c r="I99" s="16" t="n">
        <f aca="false">E99+F99</f>
        <v>0.69</v>
      </c>
      <c r="J99" s="16" t="n">
        <f aca="false">C99*I99</f>
        <v>2622</v>
      </c>
      <c r="K99" s="17" t="n">
        <f aca="false">IF(I99=0,"-",(G99-I99)/I99)</f>
        <v>0.318840579710145</v>
      </c>
    </row>
    <row r="100" customFormat="false" ht="15" hidden="false" customHeight="true" outlineLevel="0" collapsed="false">
      <c r="A100" s="12" t="n">
        <v>69</v>
      </c>
      <c r="B100" s="13" t="s">
        <v>134</v>
      </c>
      <c r="C100" s="14" t="n">
        <v>2250</v>
      </c>
      <c r="D100" s="12" t="s">
        <v>59</v>
      </c>
      <c r="E100" s="15" t="n">
        <v>0.53</v>
      </c>
      <c r="F100" s="15" t="n">
        <v>0.34</v>
      </c>
      <c r="G100" s="15" t="n">
        <v>1.13</v>
      </c>
      <c r="H100" s="16" t="n">
        <f aca="false">C100*G100</f>
        <v>2542.5</v>
      </c>
      <c r="I100" s="16" t="n">
        <f aca="false">E100+F100</f>
        <v>0.87</v>
      </c>
      <c r="J100" s="16" t="n">
        <f aca="false">C100*I100</f>
        <v>1957.5</v>
      </c>
      <c r="K100" s="17" t="n">
        <f aca="false">IF(I100=0,"-",(G100-I100)/I100)</f>
        <v>0.298850574712643</v>
      </c>
    </row>
    <row r="101" customFormat="false" ht="15" hidden="false" customHeight="true" outlineLevel="0" collapsed="false">
      <c r="A101" s="12" t="n">
        <v>70</v>
      </c>
      <c r="B101" s="13" t="s">
        <v>135</v>
      </c>
      <c r="C101" s="14" t="n">
        <v>100</v>
      </c>
      <c r="D101" s="12" t="s">
        <v>59</v>
      </c>
      <c r="E101" s="15" t="n">
        <v>0.47</v>
      </c>
      <c r="F101" s="15" t="n">
        <v>0.31</v>
      </c>
      <c r="G101" s="15" t="n">
        <v>1.02</v>
      </c>
      <c r="H101" s="16" t="n">
        <f aca="false">C101*G101</f>
        <v>102</v>
      </c>
      <c r="I101" s="16" t="n">
        <f aca="false">E101+F101</f>
        <v>0.78</v>
      </c>
      <c r="J101" s="16" t="n">
        <f aca="false">C101*I101</f>
        <v>78</v>
      </c>
      <c r="K101" s="17" t="n">
        <f aca="false">IF(I101=0,"-",(G101-I101)/I101)</f>
        <v>0.307692307692308</v>
      </c>
    </row>
    <row r="102" customFormat="false" ht="15" hidden="false" customHeight="true" outlineLevel="0" collapsed="false">
      <c r="A102" s="12" t="n">
        <v>71</v>
      </c>
      <c r="B102" s="13" t="s">
        <v>136</v>
      </c>
      <c r="C102" s="14" t="n">
        <v>800</v>
      </c>
      <c r="D102" s="12" t="s">
        <v>59</v>
      </c>
      <c r="E102" s="15" t="n">
        <v>0.41</v>
      </c>
      <c r="F102" s="15" t="n">
        <v>0.28</v>
      </c>
      <c r="G102" s="15" t="n">
        <v>0.88</v>
      </c>
      <c r="H102" s="16" t="n">
        <f aca="false">C102*G102</f>
        <v>704</v>
      </c>
      <c r="I102" s="16" t="n">
        <f aca="false">E102+F102</f>
        <v>0.69</v>
      </c>
      <c r="J102" s="16" t="n">
        <f aca="false">C102*I102</f>
        <v>552</v>
      </c>
      <c r="K102" s="17" t="n">
        <f aca="false">IF(I102=0,"-",(G102-I102)/I102)</f>
        <v>0.27536231884058</v>
      </c>
    </row>
    <row r="103" customFormat="false" ht="15" hidden="false" customHeight="true" outlineLevel="0" collapsed="false">
      <c r="A103" s="12" t="n">
        <v>72</v>
      </c>
      <c r="B103" s="13" t="s">
        <v>137</v>
      </c>
      <c r="C103" s="14" t="n">
        <v>380</v>
      </c>
      <c r="D103" s="12" t="s">
        <v>63</v>
      </c>
      <c r="E103" s="15" t="n">
        <v>0.94</v>
      </c>
      <c r="F103" s="15" t="n">
        <v>0.47</v>
      </c>
      <c r="G103" s="15" t="n">
        <v>1.84</v>
      </c>
      <c r="H103" s="16" t="n">
        <f aca="false">C103*G103</f>
        <v>699.2</v>
      </c>
      <c r="I103" s="16" t="n">
        <f aca="false">E103+F103</f>
        <v>1.41</v>
      </c>
      <c r="J103" s="16" t="n">
        <f aca="false">C103*I103</f>
        <v>535.8</v>
      </c>
      <c r="K103" s="17" t="n">
        <f aca="false">IF(I103=0,"-",(G103-I103)/I103)</f>
        <v>0.304964539007092</v>
      </c>
    </row>
    <row r="104" customFormat="false" ht="15" hidden="false" customHeight="true" outlineLevel="0" collapsed="false">
      <c r="A104" s="12" t="n">
        <v>73</v>
      </c>
      <c r="B104" s="13" t="s">
        <v>138</v>
      </c>
      <c r="C104" s="14" t="n">
        <v>1</v>
      </c>
      <c r="D104" s="12" t="s">
        <v>45</v>
      </c>
      <c r="E104" s="15" t="n">
        <v>250.54</v>
      </c>
      <c r="F104" s="15" t="n">
        <v>375.8</v>
      </c>
      <c r="G104" s="15" t="n">
        <v>851.18</v>
      </c>
      <c r="H104" s="16" t="n">
        <f aca="false">C104*G104</f>
        <v>851.18</v>
      </c>
      <c r="I104" s="16" t="n">
        <f aca="false">E104+F104</f>
        <v>626.34</v>
      </c>
      <c r="J104" s="16" t="n">
        <f aca="false">C104*I104</f>
        <v>626.34</v>
      </c>
      <c r="K104" s="17" t="n">
        <f aca="false">IF(I104=0,"-",(G104-I104)/I104)</f>
        <v>0.358974358974359</v>
      </c>
    </row>
    <row r="105" customFormat="false" ht="15" hidden="false" customHeight="true" outlineLevel="0" collapsed="false">
      <c r="A105" s="18"/>
      <c r="B105" s="18" t="s">
        <v>139</v>
      </c>
      <c r="C105" s="18"/>
      <c r="D105" s="18"/>
      <c r="E105" s="18"/>
      <c r="F105" s="18"/>
      <c r="G105" s="18"/>
      <c r="H105" s="19" t="n">
        <f aca="false">SUM(H99:H104)</f>
        <v>8356.88</v>
      </c>
      <c r="I105" s="18"/>
      <c r="J105" s="19" t="n">
        <f aca="false">SUM(J99:J104)</f>
        <v>6371.64</v>
      </c>
      <c r="K105" s="18"/>
    </row>
    <row r="106" customFormat="false" ht="15" hidden="false" customHeight="false" outlineLevel="0" collapsed="false"/>
    <row r="107" customFormat="false" ht="15" hidden="false" customHeight="true" outlineLevel="0" collapsed="false">
      <c r="A107" s="10"/>
      <c r="B107" s="11" t="s">
        <v>140</v>
      </c>
      <c r="C107" s="11"/>
      <c r="D107" s="11"/>
      <c r="E107" s="11"/>
      <c r="F107" s="11"/>
      <c r="G107" s="11"/>
      <c r="H107" s="11"/>
      <c r="I107" s="11"/>
      <c r="J107" s="11"/>
      <c r="K107" s="11"/>
    </row>
    <row r="108" customFormat="false" ht="15" hidden="false" customHeight="true" outlineLevel="0" collapsed="false">
      <c r="A108" s="12" t="n">
        <v>74</v>
      </c>
      <c r="B108" s="13" t="s">
        <v>141</v>
      </c>
      <c r="C108" s="14" t="n">
        <v>8400</v>
      </c>
      <c r="D108" s="12" t="s">
        <v>142</v>
      </c>
      <c r="E108" s="15" t="n">
        <v>0.24</v>
      </c>
      <c r="F108" s="15" t="n">
        <v>0</v>
      </c>
      <c r="G108" s="15" t="n">
        <v>0.31</v>
      </c>
      <c r="H108" s="16" t="n">
        <f aca="false">C108*G108</f>
        <v>2604</v>
      </c>
      <c r="I108" s="16" t="n">
        <f aca="false">E108+F108</f>
        <v>0.24</v>
      </c>
      <c r="J108" s="16" t="n">
        <f aca="false">C108*I108</f>
        <v>2016</v>
      </c>
      <c r="K108" s="17" t="n">
        <f aca="false">IF(I108=0,"-",(G108-I108)/I108)</f>
        <v>0.291666666666667</v>
      </c>
    </row>
    <row r="109" customFormat="false" ht="15" hidden="false" customHeight="true" outlineLevel="0" collapsed="false">
      <c r="A109" s="12" t="n">
        <v>75</v>
      </c>
      <c r="B109" s="13" t="s">
        <v>143</v>
      </c>
      <c r="C109" s="14" t="n">
        <v>700</v>
      </c>
      <c r="D109" s="12" t="s">
        <v>142</v>
      </c>
      <c r="E109" s="15" t="n">
        <v>0.3</v>
      </c>
      <c r="F109" s="15" t="n">
        <v>0</v>
      </c>
      <c r="G109" s="15" t="n">
        <v>0.39</v>
      </c>
      <c r="H109" s="16" t="n">
        <f aca="false">C109*G109</f>
        <v>273</v>
      </c>
      <c r="I109" s="16" t="n">
        <f aca="false">E109+F109</f>
        <v>0.3</v>
      </c>
      <c r="J109" s="16" t="n">
        <f aca="false">C109*I109</f>
        <v>210</v>
      </c>
      <c r="K109" s="17" t="n">
        <f aca="false">IF(I109=0,"-",(G109-I109)/I109)</f>
        <v>0.3</v>
      </c>
    </row>
    <row r="110" customFormat="false" ht="15" hidden="false" customHeight="true" outlineLevel="0" collapsed="false">
      <c r="A110" s="12" t="n">
        <v>76</v>
      </c>
      <c r="B110" s="13" t="s">
        <v>144</v>
      </c>
      <c r="C110" s="14" t="n">
        <v>600</v>
      </c>
      <c r="D110" s="12" t="s">
        <v>142</v>
      </c>
      <c r="E110" s="15" t="n">
        <v>0.33</v>
      </c>
      <c r="F110" s="15" t="n">
        <v>0</v>
      </c>
      <c r="G110" s="15" t="n">
        <v>0.43</v>
      </c>
      <c r="H110" s="16" t="n">
        <f aca="false">C110*G110</f>
        <v>258</v>
      </c>
      <c r="I110" s="16" t="n">
        <f aca="false">E110+F110</f>
        <v>0.33</v>
      </c>
      <c r="J110" s="16" t="n">
        <f aca="false">C110*I110</f>
        <v>198</v>
      </c>
      <c r="K110" s="17" t="n">
        <f aca="false">IF(I110=0,"-",(G110-I110)/I110)</f>
        <v>0.303030303030303</v>
      </c>
    </row>
    <row r="111" customFormat="false" ht="15" hidden="false" customHeight="true" outlineLevel="0" collapsed="false">
      <c r="A111" s="12" t="n">
        <v>77</v>
      </c>
      <c r="B111" s="13" t="s">
        <v>145</v>
      </c>
      <c r="C111" s="14" t="n">
        <v>9700</v>
      </c>
      <c r="D111" s="12" t="s">
        <v>142</v>
      </c>
      <c r="E111" s="15" t="n">
        <v>0</v>
      </c>
      <c r="F111" s="15" t="n">
        <v>0.22</v>
      </c>
      <c r="G111" s="15" t="n">
        <v>0.31</v>
      </c>
      <c r="H111" s="16" t="n">
        <f aca="false">C111*G111</f>
        <v>3007</v>
      </c>
      <c r="I111" s="16" t="n">
        <f aca="false">E111+F111</f>
        <v>0.22</v>
      </c>
      <c r="J111" s="16" t="n">
        <f aca="false">C111*I111</f>
        <v>2134</v>
      </c>
      <c r="K111" s="17" t="n">
        <f aca="false">IF(I111=0,"-",(G111-I111)/I111)</f>
        <v>0.409090909090909</v>
      </c>
    </row>
    <row r="112" customFormat="false" ht="15" hidden="false" customHeight="true" outlineLevel="0" collapsed="false">
      <c r="A112" s="12" t="n">
        <v>78</v>
      </c>
      <c r="B112" s="13" t="s">
        <v>146</v>
      </c>
      <c r="C112" s="14" t="n">
        <v>9700</v>
      </c>
      <c r="D112" s="12" t="s">
        <v>142</v>
      </c>
      <c r="E112" s="15" t="n">
        <v>0</v>
      </c>
      <c r="F112" s="15" t="n">
        <v>0.25</v>
      </c>
      <c r="G112" s="15" t="n">
        <v>0.37</v>
      </c>
      <c r="H112" s="16" t="n">
        <f aca="false">C112*G112</f>
        <v>3589</v>
      </c>
      <c r="I112" s="16" t="n">
        <f aca="false">E112+F112</f>
        <v>0.25</v>
      </c>
      <c r="J112" s="16" t="n">
        <f aca="false">C112*I112</f>
        <v>2425</v>
      </c>
      <c r="K112" s="17" t="n">
        <f aca="false">IF(I112=0,"-",(G112-I112)/I112)</f>
        <v>0.48</v>
      </c>
    </row>
    <row r="113" customFormat="false" ht="15" hidden="false" customHeight="true" outlineLevel="0" collapsed="false">
      <c r="A113" s="12" t="n">
        <v>79</v>
      </c>
      <c r="B113" s="13" t="s">
        <v>147</v>
      </c>
      <c r="C113" s="14" t="n">
        <v>2250</v>
      </c>
      <c r="D113" s="12" t="s">
        <v>59</v>
      </c>
      <c r="E113" s="15" t="n">
        <v>0.05</v>
      </c>
      <c r="F113" s="15" t="n">
        <v>0.22</v>
      </c>
      <c r="G113" s="15" t="n">
        <v>0.37</v>
      </c>
      <c r="H113" s="16" t="n">
        <f aca="false">C113*G113</f>
        <v>832.5</v>
      </c>
      <c r="I113" s="16" t="n">
        <f aca="false">E113+F113</f>
        <v>0.27</v>
      </c>
      <c r="J113" s="16" t="n">
        <f aca="false">C113*I113</f>
        <v>607.5</v>
      </c>
      <c r="K113" s="17" t="n">
        <f aca="false">IF(I113=0,"-",(G113-I113)/I113)</f>
        <v>0.37037037037037</v>
      </c>
    </row>
    <row r="114" customFormat="false" ht="15" hidden="false" customHeight="true" outlineLevel="0" collapsed="false">
      <c r="A114" s="12" t="n">
        <v>80</v>
      </c>
      <c r="B114" s="13" t="s">
        <v>148</v>
      </c>
      <c r="C114" s="14" t="n">
        <v>1</v>
      </c>
      <c r="D114" s="12" t="s">
        <v>45</v>
      </c>
      <c r="E114" s="15" t="n">
        <v>532.39</v>
      </c>
      <c r="F114" s="15" t="n">
        <v>0</v>
      </c>
      <c r="G114" s="15" t="n">
        <v>624.2</v>
      </c>
      <c r="H114" s="16" t="n">
        <f aca="false">C114*G114</f>
        <v>624.2</v>
      </c>
      <c r="I114" s="16" t="n">
        <f aca="false">E114+F114</f>
        <v>532.39</v>
      </c>
      <c r="J114" s="16" t="n">
        <f aca="false">C114*I114</f>
        <v>532.39</v>
      </c>
      <c r="K114" s="17" t="n">
        <f aca="false">IF(I114=0,"-",(G114-I114)/I114)</f>
        <v>0.172448768759744</v>
      </c>
    </row>
    <row r="115" customFormat="false" ht="15" hidden="false" customHeight="true" outlineLevel="0" collapsed="false">
      <c r="A115" s="18"/>
      <c r="B115" s="18" t="s">
        <v>149</v>
      </c>
      <c r="C115" s="18"/>
      <c r="D115" s="18"/>
      <c r="E115" s="18"/>
      <c r="F115" s="18"/>
      <c r="G115" s="18"/>
      <c r="H115" s="19" t="n">
        <f aca="false">SUM(H108:H114)</f>
        <v>11187.7</v>
      </c>
      <c r="I115" s="18"/>
      <c r="J115" s="19" t="n">
        <f aca="false">SUM(J108:J114)</f>
        <v>8122.89</v>
      </c>
      <c r="K115" s="18"/>
    </row>
    <row r="116" customFormat="false" ht="15" hidden="false" customHeight="false" outlineLevel="0" collapsed="false"/>
    <row r="117" customFormat="false" ht="15" hidden="false" customHeight="true" outlineLevel="0" collapsed="false">
      <c r="A117" s="10"/>
      <c r="B117" s="11" t="s">
        <v>150</v>
      </c>
      <c r="C117" s="11"/>
      <c r="D117" s="11"/>
      <c r="E117" s="11"/>
      <c r="F117" s="11"/>
      <c r="G117" s="11"/>
      <c r="H117" s="11"/>
      <c r="I117" s="11"/>
      <c r="J117" s="11"/>
      <c r="K117" s="11"/>
    </row>
    <row r="118" customFormat="false" ht="15" hidden="false" customHeight="true" outlineLevel="0" collapsed="false">
      <c r="A118" s="12" t="n">
        <v>81</v>
      </c>
      <c r="B118" s="13" t="s">
        <v>151</v>
      </c>
      <c r="C118" s="14" t="n">
        <v>13</v>
      </c>
      <c r="D118" s="12" t="s">
        <v>47</v>
      </c>
      <c r="E118" s="15" t="n">
        <v>115.87</v>
      </c>
      <c r="F118" s="15" t="n">
        <v>53.24</v>
      </c>
      <c r="G118" s="15" t="n">
        <v>218.47</v>
      </c>
      <c r="H118" s="16" t="n">
        <f aca="false">C118*G118</f>
        <v>2840.11</v>
      </c>
      <c r="I118" s="16" t="n">
        <f aca="false">E118+F118</f>
        <v>169.11</v>
      </c>
      <c r="J118" s="16" t="n">
        <f aca="false">C118*I118</f>
        <v>2198.43</v>
      </c>
      <c r="K118" s="17" t="n">
        <f aca="false">IF(I118=0,"-",(G118-I118)/I118)</f>
        <v>0.291881024185441</v>
      </c>
    </row>
    <row r="119" customFormat="false" ht="15" hidden="false" customHeight="true" outlineLevel="0" collapsed="false">
      <c r="A119" s="12" t="n">
        <v>82</v>
      </c>
      <c r="B119" s="13" t="s">
        <v>152</v>
      </c>
      <c r="C119" s="14" t="n">
        <v>13</v>
      </c>
      <c r="D119" s="12" t="s">
        <v>47</v>
      </c>
      <c r="E119" s="15" t="n">
        <v>23.8</v>
      </c>
      <c r="F119" s="15" t="n">
        <v>0</v>
      </c>
      <c r="G119" s="15" t="n">
        <v>31.21</v>
      </c>
      <c r="H119" s="16" t="n">
        <f aca="false">C119*G119</f>
        <v>405.73</v>
      </c>
      <c r="I119" s="16" t="n">
        <f aca="false">E119+F119</f>
        <v>23.8</v>
      </c>
      <c r="J119" s="16" t="n">
        <f aca="false">C119*I119</f>
        <v>309.4</v>
      </c>
      <c r="K119" s="17" t="n">
        <f aca="false">IF(I119=0,"-",(G119-I119)/I119)</f>
        <v>0.311344537815126</v>
      </c>
    </row>
    <row r="120" customFormat="false" ht="15" hidden="false" customHeight="true" outlineLevel="0" collapsed="false">
      <c r="A120" s="12" t="n">
        <v>83</v>
      </c>
      <c r="B120" s="13" t="s">
        <v>153</v>
      </c>
      <c r="C120" s="14" t="n">
        <v>850</v>
      </c>
      <c r="D120" s="12" t="s">
        <v>63</v>
      </c>
      <c r="E120" s="15" t="n">
        <v>0.91</v>
      </c>
      <c r="F120" s="15" t="n">
        <v>0.78</v>
      </c>
      <c r="G120" s="15" t="n">
        <v>2.13</v>
      </c>
      <c r="H120" s="16" t="n">
        <f aca="false">C120*G120</f>
        <v>1810.5</v>
      </c>
      <c r="I120" s="16" t="n">
        <f aca="false">E120+F120</f>
        <v>1.69</v>
      </c>
      <c r="J120" s="16" t="n">
        <f aca="false">C120*I120</f>
        <v>1436.5</v>
      </c>
      <c r="K120" s="17" t="n">
        <f aca="false">IF(I120=0,"-",(G120-I120)/I120)</f>
        <v>0.260355029585799</v>
      </c>
    </row>
    <row r="121" customFormat="false" ht="15" hidden="false" customHeight="true" outlineLevel="0" collapsed="false">
      <c r="A121" s="12" t="n">
        <v>84</v>
      </c>
      <c r="B121" s="13" t="s">
        <v>154</v>
      </c>
      <c r="C121" s="14" t="n">
        <v>320</v>
      </c>
      <c r="D121" s="12" t="s">
        <v>63</v>
      </c>
      <c r="E121" s="15" t="n">
        <v>1.41</v>
      </c>
      <c r="F121" s="15" t="n">
        <v>1.57</v>
      </c>
      <c r="G121" s="15" t="n">
        <v>3.69</v>
      </c>
      <c r="H121" s="16" t="n">
        <f aca="false">C121*G121</f>
        <v>1180.8</v>
      </c>
      <c r="I121" s="16" t="n">
        <f aca="false">E121+F121</f>
        <v>2.98</v>
      </c>
      <c r="J121" s="16" t="n">
        <f aca="false">C121*I121</f>
        <v>953.6</v>
      </c>
      <c r="K121" s="17" t="n">
        <f aca="false">IF(I121=0,"-",(G121-I121)/I121)</f>
        <v>0.238255033557047</v>
      </c>
    </row>
    <row r="122" customFormat="false" ht="15" hidden="false" customHeight="true" outlineLevel="0" collapsed="false">
      <c r="A122" s="12" t="n">
        <v>85</v>
      </c>
      <c r="B122" s="13" t="s">
        <v>155</v>
      </c>
      <c r="C122" s="14" t="n">
        <v>540</v>
      </c>
      <c r="D122" s="12" t="s">
        <v>63</v>
      </c>
      <c r="E122" s="15" t="n">
        <v>0.78</v>
      </c>
      <c r="F122" s="15" t="n">
        <v>0.94</v>
      </c>
      <c r="G122" s="15" t="n">
        <v>2.13</v>
      </c>
      <c r="H122" s="16" t="n">
        <f aca="false">C122*G122</f>
        <v>1150.2</v>
      </c>
      <c r="I122" s="16" t="n">
        <f aca="false">E122+F122</f>
        <v>1.72</v>
      </c>
      <c r="J122" s="16" t="n">
        <f aca="false">C122*I122</f>
        <v>928.8</v>
      </c>
      <c r="K122" s="17" t="n">
        <f aca="false">IF(I122=0,"-",(G122-I122)/I122)</f>
        <v>0.238372093023256</v>
      </c>
    </row>
    <row r="123" customFormat="false" ht="15" hidden="false" customHeight="true" outlineLevel="0" collapsed="false">
      <c r="A123" s="12" t="n">
        <v>86</v>
      </c>
      <c r="B123" s="13" t="s">
        <v>156</v>
      </c>
      <c r="C123" s="14" t="n">
        <v>560</v>
      </c>
      <c r="D123" s="12" t="s">
        <v>63</v>
      </c>
      <c r="E123" s="15" t="n">
        <v>0.72</v>
      </c>
      <c r="F123" s="15" t="n">
        <v>0.78</v>
      </c>
      <c r="G123" s="15" t="n">
        <v>1.84</v>
      </c>
      <c r="H123" s="16" t="n">
        <f aca="false">C123*G123</f>
        <v>1030.4</v>
      </c>
      <c r="I123" s="16" t="n">
        <f aca="false">E123+F123</f>
        <v>1.5</v>
      </c>
      <c r="J123" s="16" t="n">
        <f aca="false">C123*I123</f>
        <v>840</v>
      </c>
      <c r="K123" s="17" t="n">
        <f aca="false">IF(I123=0,"-",(G123-I123)/I123)</f>
        <v>0.226666666666667</v>
      </c>
    </row>
    <row r="124" customFormat="false" ht="15" hidden="false" customHeight="true" outlineLevel="0" collapsed="false">
      <c r="A124" s="12" t="n">
        <v>87</v>
      </c>
      <c r="B124" s="13" t="s">
        <v>157</v>
      </c>
      <c r="C124" s="14" t="n">
        <v>6</v>
      </c>
      <c r="D124" s="12" t="s">
        <v>47</v>
      </c>
      <c r="E124" s="15" t="n">
        <v>53.24</v>
      </c>
      <c r="F124" s="15" t="n">
        <v>40.71</v>
      </c>
      <c r="G124" s="15" t="n">
        <v>127.68</v>
      </c>
      <c r="H124" s="16" t="n">
        <f aca="false">C124*G124</f>
        <v>766.08</v>
      </c>
      <c r="I124" s="16" t="n">
        <f aca="false">E124+F124</f>
        <v>93.95</v>
      </c>
      <c r="J124" s="16" t="n">
        <f aca="false">C124*I124</f>
        <v>563.7</v>
      </c>
      <c r="K124" s="17" t="n">
        <f aca="false">IF(I124=0,"-",(G124-I124)/I124)</f>
        <v>0.359020755721128</v>
      </c>
    </row>
    <row r="125" customFormat="false" ht="15" hidden="false" customHeight="true" outlineLevel="0" collapsed="false">
      <c r="A125" s="12" t="n">
        <v>88</v>
      </c>
      <c r="B125" s="13" t="s">
        <v>158</v>
      </c>
      <c r="C125" s="14" t="n">
        <v>1</v>
      </c>
      <c r="D125" s="12" t="s">
        <v>45</v>
      </c>
      <c r="E125" s="15" t="n">
        <v>751.61</v>
      </c>
      <c r="F125" s="15" t="n">
        <v>375.8</v>
      </c>
      <c r="G125" s="15" t="n">
        <v>1588.88</v>
      </c>
      <c r="H125" s="16" t="n">
        <f aca="false">C125*G125</f>
        <v>1588.88</v>
      </c>
      <c r="I125" s="16" t="n">
        <f aca="false">E125+F125</f>
        <v>1127.41</v>
      </c>
      <c r="J125" s="16" t="n">
        <f aca="false">C125*I125</f>
        <v>1127.41</v>
      </c>
      <c r="K125" s="17" t="n">
        <f aca="false">IF(I125=0,"-",(G125-I125)/I125)</f>
        <v>0.409318703932021</v>
      </c>
    </row>
    <row r="126" customFormat="false" ht="15" hidden="false" customHeight="true" outlineLevel="0" collapsed="false">
      <c r="A126" s="12" t="n">
        <v>89</v>
      </c>
      <c r="B126" s="13" t="s">
        <v>159</v>
      </c>
      <c r="C126" s="14" t="n">
        <v>0</v>
      </c>
      <c r="D126" s="12" t="s">
        <v>47</v>
      </c>
      <c r="E126" s="15" t="n">
        <v>0</v>
      </c>
      <c r="F126" s="15" t="n">
        <v>0</v>
      </c>
      <c r="G126" s="15" t="n">
        <v>0</v>
      </c>
      <c r="H126" s="16" t="n">
        <f aca="false">C126*G126</f>
        <v>0</v>
      </c>
      <c r="I126" s="16" t="n">
        <f aca="false">E126+F126</f>
        <v>0</v>
      </c>
      <c r="J126" s="16" t="n">
        <f aca="false">C126*I126</f>
        <v>0</v>
      </c>
      <c r="K126" s="17" t="str">
        <f aca="false">IF(I126=0,"-",(G126-I126)/I126)</f>
        <v>-</v>
      </c>
    </row>
    <row r="127" customFormat="false" ht="15" hidden="false" customHeight="true" outlineLevel="0" collapsed="false">
      <c r="A127" s="18"/>
      <c r="B127" s="18" t="s">
        <v>160</v>
      </c>
      <c r="C127" s="18"/>
      <c r="D127" s="18"/>
      <c r="E127" s="18"/>
      <c r="F127" s="18"/>
      <c r="G127" s="18"/>
      <c r="H127" s="19" t="n">
        <f aca="false">SUM(H118:H126)</f>
        <v>10772.7</v>
      </c>
      <c r="I127" s="18"/>
      <c r="J127" s="19" t="n">
        <f aca="false">SUM(J118:J126)</f>
        <v>8357.84</v>
      </c>
      <c r="K127" s="18"/>
    </row>
    <row r="128" customFormat="false" ht="15" hidden="false" customHeight="false" outlineLevel="0" collapsed="false"/>
    <row r="129" customFormat="false" ht="15" hidden="false" customHeight="true" outlineLevel="0" collapsed="false">
      <c r="A129" s="10"/>
      <c r="B129" s="11" t="s">
        <v>161</v>
      </c>
      <c r="C129" s="11"/>
      <c r="D129" s="11"/>
      <c r="E129" s="11"/>
      <c r="F129" s="11"/>
      <c r="G129" s="11"/>
      <c r="H129" s="11"/>
      <c r="I129" s="11"/>
      <c r="J129" s="11"/>
      <c r="K129" s="11"/>
    </row>
    <row r="130" customFormat="false" ht="15" hidden="false" customHeight="true" outlineLevel="0" collapsed="false">
      <c r="A130" s="12" t="n">
        <v>90</v>
      </c>
      <c r="B130" s="13" t="s">
        <v>162</v>
      </c>
      <c r="C130" s="14" t="n">
        <v>1</v>
      </c>
      <c r="D130" s="12" t="s">
        <v>45</v>
      </c>
      <c r="E130" s="15" t="n">
        <v>7829.24</v>
      </c>
      <c r="F130" s="15" t="n">
        <v>1565.85</v>
      </c>
      <c r="G130" s="15" t="n">
        <v>12484.02</v>
      </c>
      <c r="H130" s="16" t="n">
        <f aca="false">C130*G130</f>
        <v>12484.02</v>
      </c>
      <c r="I130" s="16" t="n">
        <f aca="false">E130+F130</f>
        <v>9395.09</v>
      </c>
      <c r="J130" s="16" t="n">
        <f aca="false">C130*I130</f>
        <v>9395.09</v>
      </c>
      <c r="K130" s="17" t="n">
        <f aca="false">IF(I130=0,"-",(G130-I130)/I130)</f>
        <v>0.328781310237582</v>
      </c>
    </row>
    <row r="131" customFormat="false" ht="15" hidden="false" customHeight="true" outlineLevel="0" collapsed="false">
      <c r="A131" s="12" t="n">
        <v>91</v>
      </c>
      <c r="B131" s="13" t="s">
        <v>163</v>
      </c>
      <c r="C131" s="14" t="n">
        <v>1</v>
      </c>
      <c r="D131" s="12" t="s">
        <v>47</v>
      </c>
      <c r="E131" s="15" t="n">
        <v>2004.28</v>
      </c>
      <c r="F131" s="15" t="n">
        <v>501.07</v>
      </c>
      <c r="G131" s="15" t="n">
        <v>3291.24</v>
      </c>
      <c r="H131" s="16" t="n">
        <f aca="false">C131*G131</f>
        <v>3291.24</v>
      </c>
      <c r="I131" s="16" t="n">
        <f aca="false">E131+F131</f>
        <v>2505.35</v>
      </c>
      <c r="J131" s="16" t="n">
        <f aca="false">C131*I131</f>
        <v>2505.35</v>
      </c>
      <c r="K131" s="17" t="n">
        <f aca="false">IF(I131=0,"-",(G131-I131)/I131)</f>
        <v>0.313684714710519</v>
      </c>
    </row>
    <row r="132" customFormat="false" ht="15" hidden="false" customHeight="true" outlineLevel="0" collapsed="false">
      <c r="A132" s="12" t="n">
        <v>92</v>
      </c>
      <c r="B132" s="13" t="s">
        <v>164</v>
      </c>
      <c r="C132" s="14" t="n">
        <v>65</v>
      </c>
      <c r="D132" s="12" t="s">
        <v>59</v>
      </c>
      <c r="E132" s="15" t="n">
        <v>34.45</v>
      </c>
      <c r="F132" s="15" t="n">
        <v>15.66</v>
      </c>
      <c r="G132" s="15" t="n">
        <v>65.26</v>
      </c>
      <c r="H132" s="16" t="n">
        <f aca="false">C132*G132</f>
        <v>4241.9</v>
      </c>
      <c r="I132" s="16" t="n">
        <f aca="false">E132+F132</f>
        <v>50.11</v>
      </c>
      <c r="J132" s="16" t="n">
        <f aca="false">C132*I132</f>
        <v>3257.15</v>
      </c>
      <c r="K132" s="17" t="n">
        <f aca="false">IF(I132=0,"-",(G132-I132)/I132)</f>
        <v>0.302334863300739</v>
      </c>
    </row>
    <row r="133" customFormat="false" ht="15" hidden="false" customHeight="true" outlineLevel="0" collapsed="false">
      <c r="A133" s="12" t="n">
        <v>93</v>
      </c>
      <c r="B133" s="13" t="s">
        <v>165</v>
      </c>
      <c r="C133" s="14" t="n">
        <v>40</v>
      </c>
      <c r="D133" s="12" t="s">
        <v>59</v>
      </c>
      <c r="E133" s="15" t="n">
        <v>5.01</v>
      </c>
      <c r="F133" s="15" t="n">
        <v>7.52</v>
      </c>
      <c r="G133" s="15" t="n">
        <v>15.89</v>
      </c>
      <c r="H133" s="16" t="n">
        <f aca="false">C133*G133</f>
        <v>635.6</v>
      </c>
      <c r="I133" s="16" t="n">
        <f aca="false">E133+F133</f>
        <v>12.53</v>
      </c>
      <c r="J133" s="16" t="n">
        <f aca="false">C133*I133</f>
        <v>501.2</v>
      </c>
      <c r="K133" s="17" t="n">
        <f aca="false">IF(I133=0,"-",(G133-I133)/I133)</f>
        <v>0.268156424581006</v>
      </c>
    </row>
    <row r="134" customFormat="false" ht="15" hidden="false" customHeight="true" outlineLevel="0" collapsed="false">
      <c r="A134" s="12" t="n">
        <v>94</v>
      </c>
      <c r="B134" s="13" t="s">
        <v>166</v>
      </c>
      <c r="C134" s="14" t="n">
        <v>1</v>
      </c>
      <c r="D134" s="12" t="s">
        <v>47</v>
      </c>
      <c r="E134" s="15" t="n">
        <v>1127.41</v>
      </c>
      <c r="F134" s="15" t="n">
        <v>219.22</v>
      </c>
      <c r="G134" s="15" t="n">
        <v>1815.86</v>
      </c>
      <c r="H134" s="16" t="n">
        <f aca="false">C134*G134</f>
        <v>1815.86</v>
      </c>
      <c r="I134" s="16" t="n">
        <f aca="false">E134+F134</f>
        <v>1346.63</v>
      </c>
      <c r="J134" s="16" t="n">
        <f aca="false">C134*I134</f>
        <v>1346.63</v>
      </c>
      <c r="K134" s="17" t="n">
        <f aca="false">IF(I134=0,"-",(G134-I134)/I134)</f>
        <v>0.348447606246705</v>
      </c>
    </row>
    <row r="135" customFormat="false" ht="15" hidden="false" customHeight="true" outlineLevel="0" collapsed="false">
      <c r="A135" s="12" t="n">
        <v>95</v>
      </c>
      <c r="B135" s="13" t="s">
        <v>167</v>
      </c>
      <c r="C135" s="14" t="n">
        <v>14</v>
      </c>
      <c r="D135" s="12" t="s">
        <v>59</v>
      </c>
      <c r="E135" s="15" t="n">
        <v>34.45</v>
      </c>
      <c r="F135" s="15" t="n">
        <v>15.66</v>
      </c>
      <c r="G135" s="15" t="n">
        <v>65.26</v>
      </c>
      <c r="H135" s="16" t="n">
        <f aca="false">C135*G135</f>
        <v>913.64</v>
      </c>
      <c r="I135" s="16" t="n">
        <f aca="false">E135+F135</f>
        <v>50.11</v>
      </c>
      <c r="J135" s="16" t="n">
        <f aca="false">C135*I135</f>
        <v>701.54</v>
      </c>
      <c r="K135" s="17" t="n">
        <f aca="false">IF(I135=0,"-",(G135-I135)/I135)</f>
        <v>0.302334863300739</v>
      </c>
    </row>
    <row r="136" customFormat="false" ht="15" hidden="false" customHeight="true" outlineLevel="0" collapsed="false">
      <c r="A136" s="12" t="n">
        <v>96</v>
      </c>
      <c r="B136" s="13" t="s">
        <v>168</v>
      </c>
      <c r="C136" s="14" t="n">
        <v>1</v>
      </c>
      <c r="D136" s="12" t="s">
        <v>47</v>
      </c>
      <c r="E136" s="15" t="n">
        <v>407.12</v>
      </c>
      <c r="F136" s="15" t="n">
        <v>125.27</v>
      </c>
      <c r="G136" s="15" t="n">
        <v>709.32</v>
      </c>
      <c r="H136" s="16" t="n">
        <f aca="false">C136*G136</f>
        <v>709.32</v>
      </c>
      <c r="I136" s="16" t="n">
        <f aca="false">E136+F136</f>
        <v>532.39</v>
      </c>
      <c r="J136" s="16" t="n">
        <f aca="false">C136*I136</f>
        <v>532.39</v>
      </c>
      <c r="K136" s="17" t="n">
        <f aca="false">IF(I136=0,"-",(G136-I136)/I136)</f>
        <v>0.332331561449314</v>
      </c>
    </row>
    <row r="137" customFormat="false" ht="15" hidden="false" customHeight="true" outlineLevel="0" collapsed="false">
      <c r="A137" s="12" t="n">
        <v>97</v>
      </c>
      <c r="B137" s="13" t="s">
        <v>169</v>
      </c>
      <c r="C137" s="14" t="n">
        <v>6</v>
      </c>
      <c r="D137" s="12" t="s">
        <v>59</v>
      </c>
      <c r="E137" s="15" t="n">
        <v>34.45</v>
      </c>
      <c r="F137" s="15" t="n">
        <v>15.66</v>
      </c>
      <c r="G137" s="15" t="n">
        <v>65.26</v>
      </c>
      <c r="H137" s="16" t="n">
        <f aca="false">C137*G137</f>
        <v>391.56</v>
      </c>
      <c r="I137" s="16" t="n">
        <f aca="false">E137+F137</f>
        <v>50.11</v>
      </c>
      <c r="J137" s="16" t="n">
        <f aca="false">C137*I137</f>
        <v>300.66</v>
      </c>
      <c r="K137" s="17" t="n">
        <f aca="false">IF(I137=0,"-",(G137-I137)/I137)</f>
        <v>0.302334863300739</v>
      </c>
    </row>
    <row r="138" customFormat="false" ht="15" hidden="false" customHeight="true" outlineLevel="0" collapsed="false">
      <c r="A138" s="12" t="n">
        <v>98</v>
      </c>
      <c r="B138" s="13" t="s">
        <v>170</v>
      </c>
      <c r="C138" s="14" t="n">
        <v>1</v>
      </c>
      <c r="D138" s="12" t="s">
        <v>47</v>
      </c>
      <c r="E138" s="15" t="n">
        <v>219.22</v>
      </c>
      <c r="F138" s="15" t="n">
        <v>78.29</v>
      </c>
      <c r="G138" s="15" t="n">
        <v>397.22</v>
      </c>
      <c r="H138" s="16" t="n">
        <f aca="false">C138*G138</f>
        <v>397.22</v>
      </c>
      <c r="I138" s="16" t="n">
        <f aca="false">E138+F138</f>
        <v>297.51</v>
      </c>
      <c r="J138" s="16" t="n">
        <f aca="false">C138*I138</f>
        <v>297.51</v>
      </c>
      <c r="K138" s="17" t="n">
        <f aca="false">IF(I138=0,"-",(G138-I138)/I138)</f>
        <v>0.335148398373164</v>
      </c>
    </row>
    <row r="139" customFormat="false" ht="15" hidden="false" customHeight="true" outlineLevel="0" collapsed="false">
      <c r="A139" s="12" t="n">
        <v>99</v>
      </c>
      <c r="B139" s="13" t="s">
        <v>171</v>
      </c>
      <c r="C139" s="14" t="n">
        <v>6</v>
      </c>
      <c r="D139" s="12" t="s">
        <v>63</v>
      </c>
      <c r="E139" s="15" t="n">
        <v>140.93</v>
      </c>
      <c r="F139" s="15" t="n">
        <v>53.24</v>
      </c>
      <c r="G139" s="15" t="n">
        <v>255.36</v>
      </c>
      <c r="H139" s="16" t="n">
        <f aca="false">C139*G139</f>
        <v>1532.16</v>
      </c>
      <c r="I139" s="16" t="n">
        <f aca="false">E139+F139</f>
        <v>194.17</v>
      </c>
      <c r="J139" s="16" t="n">
        <f aca="false">C139*I139</f>
        <v>1165.02</v>
      </c>
      <c r="K139" s="17" t="n">
        <f aca="false">IF(I139=0,"-",(G139-I139)/I139)</f>
        <v>0.315136220837411</v>
      </c>
    </row>
    <row r="140" customFormat="false" ht="15" hidden="false" customHeight="true" outlineLevel="0" collapsed="false">
      <c r="A140" s="12" t="n">
        <v>100</v>
      </c>
      <c r="B140" s="13" t="s">
        <v>172</v>
      </c>
      <c r="C140" s="14" t="n">
        <v>45</v>
      </c>
      <c r="D140" s="12" t="s">
        <v>47</v>
      </c>
      <c r="E140" s="15" t="n">
        <v>5.01</v>
      </c>
      <c r="F140" s="15" t="n">
        <v>0</v>
      </c>
      <c r="G140" s="15" t="n">
        <v>7.94</v>
      </c>
      <c r="H140" s="16" t="n">
        <f aca="false">C140*G140</f>
        <v>357.3</v>
      </c>
      <c r="I140" s="16" t="n">
        <f aca="false">E140+F140</f>
        <v>5.01</v>
      </c>
      <c r="J140" s="16" t="n">
        <f aca="false">C140*I140</f>
        <v>225.45</v>
      </c>
      <c r="K140" s="17" t="n">
        <f aca="false">IF(I140=0,"-",(G140-I140)/I140)</f>
        <v>0.584830339321357</v>
      </c>
    </row>
    <row r="141" customFormat="false" ht="15" hidden="false" customHeight="true" outlineLevel="0" collapsed="false">
      <c r="A141" s="12" t="n">
        <v>101</v>
      </c>
      <c r="B141" s="13" t="s">
        <v>173</v>
      </c>
      <c r="C141" s="14" t="n">
        <v>8</v>
      </c>
      <c r="D141" s="12" t="s">
        <v>63</v>
      </c>
      <c r="E141" s="15" t="n">
        <v>78.29</v>
      </c>
      <c r="F141" s="15" t="n">
        <v>28.19</v>
      </c>
      <c r="G141" s="15" t="n">
        <v>141.86</v>
      </c>
      <c r="H141" s="16" t="n">
        <f aca="false">C141*G141</f>
        <v>1134.88</v>
      </c>
      <c r="I141" s="16" t="n">
        <f aca="false">E141+F141</f>
        <v>106.48</v>
      </c>
      <c r="J141" s="16" t="n">
        <f aca="false">C141*I141</f>
        <v>851.84</v>
      </c>
      <c r="K141" s="17" t="n">
        <f aca="false">IF(I141=0,"-",(G141-I141)/I141)</f>
        <v>0.332268970698723</v>
      </c>
    </row>
    <row r="142" customFormat="false" ht="15" hidden="false" customHeight="true" outlineLevel="0" collapsed="false">
      <c r="A142" s="18"/>
      <c r="B142" s="18" t="s">
        <v>174</v>
      </c>
      <c r="C142" s="18"/>
      <c r="D142" s="18"/>
      <c r="E142" s="18"/>
      <c r="F142" s="18"/>
      <c r="G142" s="18"/>
      <c r="H142" s="19" t="n">
        <f aca="false">SUM(H130:H141)</f>
        <v>27904.7</v>
      </c>
      <c r="I142" s="18"/>
      <c r="J142" s="19" t="n">
        <f aca="false">SUM(J130:J141)</f>
        <v>21079.83</v>
      </c>
      <c r="K142" s="18"/>
    </row>
    <row r="143" customFormat="false" ht="15" hidden="false" customHeight="false" outlineLevel="0" collapsed="false"/>
    <row r="144" customFormat="false" ht="15" hidden="false" customHeight="true" outlineLevel="0" collapsed="false">
      <c r="A144" s="10"/>
      <c r="B144" s="11" t="s">
        <v>175</v>
      </c>
      <c r="C144" s="11"/>
      <c r="D144" s="11"/>
      <c r="E144" s="11"/>
      <c r="F144" s="11"/>
      <c r="G144" s="11"/>
      <c r="H144" s="11"/>
      <c r="I144" s="11"/>
      <c r="J144" s="11"/>
      <c r="K144" s="11"/>
    </row>
    <row r="145" customFormat="false" ht="15" hidden="false" customHeight="true" outlineLevel="0" collapsed="false">
      <c r="A145" s="12" t="n">
        <v>102</v>
      </c>
      <c r="B145" s="13" t="s">
        <v>176</v>
      </c>
      <c r="C145" s="14" t="n">
        <v>1400</v>
      </c>
      <c r="D145" s="12" t="s">
        <v>59</v>
      </c>
      <c r="E145" s="15" t="n">
        <v>3.44</v>
      </c>
      <c r="F145" s="15" t="n">
        <v>2.19</v>
      </c>
      <c r="G145" s="15" t="n">
        <v>7.09</v>
      </c>
      <c r="H145" s="16" t="n">
        <f aca="false">C145*G145</f>
        <v>9926</v>
      </c>
      <c r="I145" s="16" t="n">
        <f aca="false">E145+F145</f>
        <v>5.63</v>
      </c>
      <c r="J145" s="16" t="n">
        <f aca="false">C145*I145</f>
        <v>7882</v>
      </c>
      <c r="K145" s="17" t="n">
        <f aca="false">IF(I145=0,"-",(G145-I145)/I145)</f>
        <v>0.259325044404973</v>
      </c>
    </row>
    <row r="146" customFormat="false" ht="15" hidden="false" customHeight="true" outlineLevel="0" collapsed="false">
      <c r="A146" s="12" t="n">
        <v>103</v>
      </c>
      <c r="B146" s="13" t="s">
        <v>177</v>
      </c>
      <c r="C146" s="14" t="n">
        <v>550</v>
      </c>
      <c r="D146" s="12" t="s">
        <v>59</v>
      </c>
      <c r="E146" s="15" t="n">
        <v>2.82</v>
      </c>
      <c r="F146" s="15" t="n">
        <v>3.76</v>
      </c>
      <c r="G146" s="15" t="n">
        <v>8.23</v>
      </c>
      <c r="H146" s="16" t="n">
        <f aca="false">C146*G146</f>
        <v>4526.5</v>
      </c>
      <c r="I146" s="16" t="n">
        <f aca="false">E146+F146</f>
        <v>6.58</v>
      </c>
      <c r="J146" s="16" t="n">
        <f aca="false">C146*I146</f>
        <v>3619</v>
      </c>
      <c r="K146" s="17" t="n">
        <f aca="false">IF(I146=0,"-",(G146-I146)/I146)</f>
        <v>0.250759878419453</v>
      </c>
    </row>
    <row r="147" customFormat="false" ht="15" hidden="false" customHeight="true" outlineLevel="0" collapsed="false">
      <c r="A147" s="12" t="n">
        <v>104</v>
      </c>
      <c r="B147" s="13" t="s">
        <v>178</v>
      </c>
      <c r="C147" s="14" t="n">
        <v>280</v>
      </c>
      <c r="D147" s="12" t="s">
        <v>59</v>
      </c>
      <c r="E147" s="15" t="n">
        <v>3.76</v>
      </c>
      <c r="F147" s="15" t="n">
        <v>5.01</v>
      </c>
      <c r="G147" s="15" t="n">
        <v>10.21</v>
      </c>
      <c r="H147" s="16" t="n">
        <f aca="false">C147*G147</f>
        <v>2858.8</v>
      </c>
      <c r="I147" s="16" t="n">
        <f aca="false">E147+F147</f>
        <v>8.77</v>
      </c>
      <c r="J147" s="16" t="n">
        <f aca="false">C147*I147</f>
        <v>2455.6</v>
      </c>
      <c r="K147" s="17" t="n">
        <f aca="false">IF(I147=0,"-",(G147-I147)/I147)</f>
        <v>0.164196123147093</v>
      </c>
    </row>
    <row r="148" customFormat="false" ht="15" hidden="false" customHeight="true" outlineLevel="0" collapsed="false">
      <c r="A148" s="12" t="n">
        <v>105</v>
      </c>
      <c r="B148" s="13" t="s">
        <v>179</v>
      </c>
      <c r="C148" s="14" t="n">
        <v>830</v>
      </c>
      <c r="D148" s="12" t="s">
        <v>59</v>
      </c>
      <c r="E148" s="15" t="n">
        <v>0.78</v>
      </c>
      <c r="F148" s="15" t="n">
        <v>0.63</v>
      </c>
      <c r="G148" s="15" t="n">
        <v>1.84</v>
      </c>
      <c r="H148" s="16" t="n">
        <f aca="false">C148*G148</f>
        <v>1527.2</v>
      </c>
      <c r="I148" s="16" t="n">
        <f aca="false">E148+F148</f>
        <v>1.41</v>
      </c>
      <c r="J148" s="16" t="n">
        <f aca="false">C148*I148</f>
        <v>1170.3</v>
      </c>
      <c r="K148" s="17" t="n">
        <f aca="false">IF(I148=0,"-",(G148-I148)/I148)</f>
        <v>0.304964539007092</v>
      </c>
    </row>
    <row r="149" customFormat="false" ht="15" hidden="false" customHeight="true" outlineLevel="0" collapsed="false">
      <c r="A149" s="12" t="n">
        <v>106</v>
      </c>
      <c r="B149" s="13" t="s">
        <v>180</v>
      </c>
      <c r="C149" s="14" t="n">
        <v>300</v>
      </c>
      <c r="D149" s="12" t="s">
        <v>59</v>
      </c>
      <c r="E149" s="15" t="n">
        <v>1.57</v>
      </c>
      <c r="F149" s="15" t="n">
        <v>0.94</v>
      </c>
      <c r="G149" s="15" t="n">
        <v>3.12</v>
      </c>
      <c r="H149" s="16" t="n">
        <f aca="false">C149*G149</f>
        <v>936</v>
      </c>
      <c r="I149" s="16" t="n">
        <f aca="false">E149+F149</f>
        <v>2.51</v>
      </c>
      <c r="J149" s="16" t="n">
        <f aca="false">C149*I149</f>
        <v>753</v>
      </c>
      <c r="K149" s="17" t="n">
        <f aca="false">IF(I149=0,"-",(G149-I149)/I149)</f>
        <v>0.243027888446215</v>
      </c>
    </row>
    <row r="150" customFormat="false" ht="15" hidden="false" customHeight="true" outlineLevel="0" collapsed="false">
      <c r="A150" s="12" t="n">
        <v>107</v>
      </c>
      <c r="B150" s="13" t="s">
        <v>181</v>
      </c>
      <c r="C150" s="14" t="n">
        <v>576</v>
      </c>
      <c r="D150" s="12" t="s">
        <v>59</v>
      </c>
      <c r="E150" s="15" t="n">
        <v>1.1</v>
      </c>
      <c r="F150" s="15" t="n">
        <v>0.94</v>
      </c>
      <c r="G150" s="15" t="n">
        <v>2.55</v>
      </c>
      <c r="H150" s="16" t="n">
        <f aca="false">C150*G150</f>
        <v>1468.8</v>
      </c>
      <c r="I150" s="16" t="n">
        <f aca="false">E150+F150</f>
        <v>2.04</v>
      </c>
      <c r="J150" s="16" t="n">
        <f aca="false">C150*I150</f>
        <v>1175.04</v>
      </c>
      <c r="K150" s="17" t="n">
        <f aca="false">IF(I150=0,"-",(G150-I150)/I150)</f>
        <v>0.25</v>
      </c>
    </row>
    <row r="151" customFormat="false" ht="15" hidden="false" customHeight="true" outlineLevel="0" collapsed="false">
      <c r="A151" s="12" t="n">
        <v>108</v>
      </c>
      <c r="B151" s="13" t="s">
        <v>182</v>
      </c>
      <c r="C151" s="14" t="n">
        <v>1</v>
      </c>
      <c r="D151" s="12" t="s">
        <v>45</v>
      </c>
      <c r="E151" s="15" t="n">
        <v>156.58</v>
      </c>
      <c r="F151" s="15" t="n">
        <v>93.95</v>
      </c>
      <c r="G151" s="15" t="n">
        <v>340.47</v>
      </c>
      <c r="H151" s="16" t="n">
        <f aca="false">C151*G151</f>
        <v>340.47</v>
      </c>
      <c r="I151" s="16" t="n">
        <f aca="false">E151+F151</f>
        <v>250.53</v>
      </c>
      <c r="J151" s="16" t="n">
        <f aca="false">C151*I151</f>
        <v>250.53</v>
      </c>
      <c r="K151" s="17" t="n">
        <f aca="false">IF(I151=0,"-",(G151-I151)/I151)</f>
        <v>0.358998922284756</v>
      </c>
    </row>
    <row r="152" customFormat="false" ht="15" hidden="false" customHeight="true" outlineLevel="0" collapsed="false">
      <c r="A152" s="12" t="n">
        <v>109</v>
      </c>
      <c r="B152" s="13" t="s">
        <v>183</v>
      </c>
      <c r="C152" s="14" t="n">
        <v>1</v>
      </c>
      <c r="D152" s="12" t="s">
        <v>45</v>
      </c>
      <c r="E152" s="15" t="n">
        <v>250.54</v>
      </c>
      <c r="F152" s="15" t="n">
        <v>219.22</v>
      </c>
      <c r="G152" s="15" t="n">
        <v>624.2</v>
      </c>
      <c r="H152" s="16" t="n">
        <f aca="false">C152*G152</f>
        <v>624.2</v>
      </c>
      <c r="I152" s="16" t="n">
        <f aca="false">E152+F152</f>
        <v>469.76</v>
      </c>
      <c r="J152" s="16" t="n">
        <f aca="false">C152*I152</f>
        <v>469.76</v>
      </c>
      <c r="K152" s="17" t="n">
        <f aca="false">IF(I152=0,"-",(G152-I152)/I152)</f>
        <v>0.328763623978202</v>
      </c>
    </row>
    <row r="153" customFormat="false" ht="15" hidden="false" customHeight="true" outlineLevel="0" collapsed="false">
      <c r="A153" s="18"/>
      <c r="B153" s="18" t="s">
        <v>184</v>
      </c>
      <c r="C153" s="18"/>
      <c r="D153" s="18"/>
      <c r="E153" s="18"/>
      <c r="F153" s="18"/>
      <c r="G153" s="18"/>
      <c r="H153" s="19" t="n">
        <f aca="false">SUM(H145:H152)</f>
        <v>22207.97</v>
      </c>
      <c r="I153" s="18"/>
      <c r="J153" s="19" t="n">
        <f aca="false">SUM(J145:J152)</f>
        <v>17775.23</v>
      </c>
      <c r="K153" s="18"/>
    </row>
    <row r="154" customFormat="false" ht="15" hidden="false" customHeight="false" outlineLevel="0" collapsed="false"/>
    <row r="155" customFormat="false" ht="15" hidden="false" customHeight="true" outlineLevel="0" collapsed="false">
      <c r="A155" s="10"/>
      <c r="B155" s="11" t="s">
        <v>185</v>
      </c>
      <c r="C155" s="11"/>
      <c r="D155" s="11"/>
      <c r="E155" s="11"/>
      <c r="F155" s="11"/>
      <c r="G155" s="11"/>
      <c r="H155" s="11"/>
      <c r="I155" s="11"/>
      <c r="J155" s="11"/>
      <c r="K155" s="11"/>
    </row>
    <row r="156" customFormat="false" ht="15" hidden="false" customHeight="true" outlineLevel="0" collapsed="false">
      <c r="A156" s="12" t="n">
        <v>110</v>
      </c>
      <c r="B156" s="13" t="s">
        <v>186</v>
      </c>
      <c r="C156" s="14" t="n">
        <v>5800</v>
      </c>
      <c r="D156" s="12" t="s">
        <v>59</v>
      </c>
      <c r="E156" s="15" t="n">
        <v>0.22</v>
      </c>
      <c r="F156" s="15" t="n">
        <v>0.34</v>
      </c>
      <c r="G156" s="15" t="n">
        <v>0.74</v>
      </c>
      <c r="H156" s="16" t="n">
        <f aca="false">C156*G156</f>
        <v>4292</v>
      </c>
      <c r="I156" s="16" t="n">
        <f aca="false">E156+F156</f>
        <v>0.56</v>
      </c>
      <c r="J156" s="16" t="n">
        <f aca="false">C156*I156</f>
        <v>3248</v>
      </c>
      <c r="K156" s="17" t="n">
        <f aca="false">IF(I156=0,"-",(G156-I156)/I156)</f>
        <v>0.321428571428571</v>
      </c>
    </row>
    <row r="157" customFormat="false" ht="15" hidden="false" customHeight="true" outlineLevel="0" collapsed="false">
      <c r="A157" s="12" t="n">
        <v>111</v>
      </c>
      <c r="B157" s="13" t="s">
        <v>187</v>
      </c>
      <c r="C157" s="14" t="n">
        <v>2250</v>
      </c>
      <c r="D157" s="12" t="s">
        <v>59</v>
      </c>
      <c r="E157" s="15" t="n">
        <v>0.16</v>
      </c>
      <c r="F157" s="15" t="n">
        <v>0.25</v>
      </c>
      <c r="G157" s="15" t="n">
        <v>0.54</v>
      </c>
      <c r="H157" s="16" t="n">
        <f aca="false">C157*G157</f>
        <v>1215</v>
      </c>
      <c r="I157" s="16" t="n">
        <f aca="false">E157+F157</f>
        <v>0.41</v>
      </c>
      <c r="J157" s="16" t="n">
        <f aca="false">C157*I157</f>
        <v>922.5</v>
      </c>
      <c r="K157" s="17" t="n">
        <f aca="false">IF(I157=0,"-",(G157-I157)/I157)</f>
        <v>0.317073170731707</v>
      </c>
    </row>
    <row r="158" customFormat="false" ht="15" hidden="false" customHeight="true" outlineLevel="0" collapsed="false">
      <c r="A158" s="12" t="n">
        <v>112</v>
      </c>
      <c r="B158" s="13" t="s">
        <v>188</v>
      </c>
      <c r="C158" s="14" t="n">
        <v>1</v>
      </c>
      <c r="D158" s="12" t="s">
        <v>45</v>
      </c>
      <c r="E158" s="15" t="n">
        <v>375.8</v>
      </c>
      <c r="F158" s="15" t="n">
        <v>1127.41</v>
      </c>
      <c r="G158" s="15" t="n">
        <v>1986.09</v>
      </c>
      <c r="H158" s="16" t="n">
        <f aca="false">C158*G158</f>
        <v>1986.09</v>
      </c>
      <c r="I158" s="16" t="n">
        <f aca="false">E158+F158</f>
        <v>1503.21</v>
      </c>
      <c r="J158" s="16" t="n">
        <f aca="false">C158*I158</f>
        <v>1503.21</v>
      </c>
      <c r="K158" s="17" t="n">
        <f aca="false">IF(I158=0,"-",(G158-I158)/I158)</f>
        <v>0.321232562316642</v>
      </c>
    </row>
    <row r="159" customFormat="false" ht="15" hidden="false" customHeight="true" outlineLevel="0" collapsed="false">
      <c r="A159" s="12" t="n">
        <v>113</v>
      </c>
      <c r="B159" s="13" t="s">
        <v>189</v>
      </c>
      <c r="C159" s="14" t="n">
        <v>1</v>
      </c>
      <c r="D159" s="12" t="s">
        <v>45</v>
      </c>
      <c r="E159" s="15" t="n">
        <v>187.9</v>
      </c>
      <c r="F159" s="15" t="n">
        <v>501.07</v>
      </c>
      <c r="G159" s="15" t="n">
        <v>907.93</v>
      </c>
      <c r="H159" s="16" t="n">
        <f aca="false">C159*G159</f>
        <v>907.93</v>
      </c>
      <c r="I159" s="16" t="n">
        <f aca="false">E159+F159</f>
        <v>688.97</v>
      </c>
      <c r="J159" s="16" t="n">
        <f aca="false">C159*I159</f>
        <v>688.97</v>
      </c>
      <c r="K159" s="17" t="n">
        <f aca="false">IF(I159=0,"-",(G159-I159)/I159)</f>
        <v>0.317807741991669</v>
      </c>
    </row>
    <row r="160" customFormat="false" ht="15" hidden="false" customHeight="true" outlineLevel="0" collapsed="false">
      <c r="A160" s="12" t="n">
        <v>114</v>
      </c>
      <c r="B160" s="13" t="s">
        <v>190</v>
      </c>
      <c r="C160" s="14" t="n">
        <v>1</v>
      </c>
      <c r="D160" s="12" t="s">
        <v>45</v>
      </c>
      <c r="E160" s="15" t="n">
        <v>156.58</v>
      </c>
      <c r="F160" s="15" t="n">
        <v>250.54</v>
      </c>
      <c r="G160" s="15" t="n">
        <v>539.08</v>
      </c>
      <c r="H160" s="16" t="n">
        <f aca="false">C160*G160</f>
        <v>539.08</v>
      </c>
      <c r="I160" s="16" t="n">
        <f aca="false">E160+F160</f>
        <v>407.12</v>
      </c>
      <c r="J160" s="16" t="n">
        <f aca="false">C160*I160</f>
        <v>407.12</v>
      </c>
      <c r="K160" s="17" t="n">
        <f aca="false">IF(I160=0,"-",(G160-I160)/I160)</f>
        <v>0.324130477500491</v>
      </c>
    </row>
    <row r="161" customFormat="false" ht="15" hidden="false" customHeight="true" outlineLevel="0" collapsed="false">
      <c r="A161" s="18"/>
      <c r="B161" s="18" t="s">
        <v>191</v>
      </c>
      <c r="C161" s="18"/>
      <c r="D161" s="18"/>
      <c r="E161" s="18"/>
      <c r="F161" s="18"/>
      <c r="G161" s="18"/>
      <c r="H161" s="19" t="n">
        <f aca="false">SUM(H156:H160)</f>
        <v>8940.1</v>
      </c>
      <c r="I161" s="18"/>
      <c r="J161" s="19" t="n">
        <f aca="false">SUM(J156:J160)</f>
        <v>6769.8</v>
      </c>
      <c r="K161" s="18"/>
    </row>
    <row r="162" customFormat="false" ht="15" hidden="false" customHeight="false" outlineLevel="0" collapsed="false"/>
    <row r="163" customFormat="false" ht="15" hidden="false" customHeight="true" outlineLevel="0" collapsed="false">
      <c r="A163" s="10"/>
      <c r="B163" s="11" t="s">
        <v>192</v>
      </c>
      <c r="C163" s="11"/>
      <c r="D163" s="11"/>
      <c r="E163" s="11"/>
      <c r="F163" s="11"/>
      <c r="G163" s="11"/>
      <c r="H163" s="11"/>
      <c r="I163" s="11"/>
      <c r="J163" s="11"/>
      <c r="K163" s="11"/>
    </row>
    <row r="164" customFormat="false" ht="15" hidden="false" customHeight="true" outlineLevel="0" collapsed="false">
      <c r="A164" s="12" t="n">
        <v>115</v>
      </c>
      <c r="B164" s="13" t="s">
        <v>193</v>
      </c>
      <c r="C164" s="14" t="n">
        <v>1</v>
      </c>
      <c r="D164" s="12" t="s">
        <v>45</v>
      </c>
      <c r="E164" s="15" t="n">
        <v>2818.53</v>
      </c>
      <c r="F164" s="15" t="n">
        <v>4071.2</v>
      </c>
      <c r="G164" s="15" t="n">
        <v>9079.29</v>
      </c>
      <c r="H164" s="16" t="n">
        <f aca="false">C164*G164</f>
        <v>9079.29</v>
      </c>
      <c r="I164" s="16" t="n">
        <f aca="false">E164+F164</f>
        <v>6889.73</v>
      </c>
      <c r="J164" s="16" t="n">
        <f aca="false">C164*I164</f>
        <v>6889.73</v>
      </c>
      <c r="K164" s="17" t="n">
        <f aca="false">IF(I164=0,"-",(G164-I164)/I164)</f>
        <v>0.317800552416423</v>
      </c>
    </row>
    <row r="165" customFormat="false" ht="15" hidden="false" customHeight="true" outlineLevel="0" collapsed="false">
      <c r="A165" s="12" t="n">
        <v>116</v>
      </c>
      <c r="B165" s="13" t="s">
        <v>194</v>
      </c>
      <c r="C165" s="14" t="n">
        <v>1</v>
      </c>
      <c r="D165" s="12" t="s">
        <v>45</v>
      </c>
      <c r="E165" s="15" t="n">
        <v>751.61</v>
      </c>
      <c r="F165" s="15" t="n">
        <v>250.54</v>
      </c>
      <c r="G165" s="15" t="n">
        <v>1361.89</v>
      </c>
      <c r="H165" s="16" t="n">
        <f aca="false">C165*G165</f>
        <v>1361.89</v>
      </c>
      <c r="I165" s="16" t="n">
        <f aca="false">E165+F165</f>
        <v>1002.15</v>
      </c>
      <c r="J165" s="16" t="n">
        <f aca="false">C165*I165</f>
        <v>1002.15</v>
      </c>
      <c r="K165" s="17" t="n">
        <f aca="false">IF(I165=0,"-",(G165-I165)/I165)</f>
        <v>0.358968218330589</v>
      </c>
    </row>
    <row r="166" customFormat="false" ht="15" hidden="false" customHeight="true" outlineLevel="0" collapsed="false">
      <c r="A166" s="12" t="n">
        <v>117</v>
      </c>
      <c r="B166" s="13" t="s">
        <v>195</v>
      </c>
      <c r="C166" s="14" t="n">
        <v>1</v>
      </c>
      <c r="D166" s="12" t="s">
        <v>45</v>
      </c>
      <c r="E166" s="15" t="n">
        <v>281.85</v>
      </c>
      <c r="F166" s="15" t="n">
        <v>125.27</v>
      </c>
      <c r="G166" s="15" t="n">
        <v>539.08</v>
      </c>
      <c r="H166" s="16" t="n">
        <f aca="false">C166*G166</f>
        <v>539.08</v>
      </c>
      <c r="I166" s="16" t="n">
        <f aca="false">E166+F166</f>
        <v>407.12</v>
      </c>
      <c r="J166" s="16" t="n">
        <f aca="false">C166*I166</f>
        <v>407.12</v>
      </c>
      <c r="K166" s="17" t="n">
        <f aca="false">IF(I166=0,"-",(G166-I166)/I166)</f>
        <v>0.324130477500491</v>
      </c>
    </row>
    <row r="167" customFormat="false" ht="15" hidden="false" customHeight="true" outlineLevel="0" collapsed="false">
      <c r="A167" s="12" t="n">
        <v>118</v>
      </c>
      <c r="B167" s="13" t="s">
        <v>196</v>
      </c>
      <c r="C167" s="14" t="n">
        <v>1</v>
      </c>
      <c r="D167" s="12" t="s">
        <v>45</v>
      </c>
      <c r="E167" s="15" t="n">
        <v>109.61</v>
      </c>
      <c r="F167" s="15" t="n">
        <v>46.98</v>
      </c>
      <c r="G167" s="15" t="n">
        <v>212.8</v>
      </c>
      <c r="H167" s="16" t="n">
        <f aca="false">C167*G167</f>
        <v>212.8</v>
      </c>
      <c r="I167" s="16" t="n">
        <f aca="false">E167+F167</f>
        <v>156.59</v>
      </c>
      <c r="J167" s="16" t="n">
        <f aca="false">C167*I167</f>
        <v>156.59</v>
      </c>
      <c r="K167" s="17" t="n">
        <f aca="false">IF(I167=0,"-",(G167-I167)/I167)</f>
        <v>0.358962896736701</v>
      </c>
    </row>
    <row r="168" customFormat="false" ht="15" hidden="false" customHeight="true" outlineLevel="0" collapsed="false">
      <c r="A168" s="12" t="n">
        <v>119</v>
      </c>
      <c r="B168" s="13" t="s">
        <v>197</v>
      </c>
      <c r="C168" s="14" t="n">
        <v>1</v>
      </c>
      <c r="D168" s="12" t="s">
        <v>47</v>
      </c>
      <c r="E168" s="15" t="n">
        <v>219.22</v>
      </c>
      <c r="F168" s="15" t="n">
        <v>78.29</v>
      </c>
      <c r="G168" s="15" t="n">
        <v>397.22</v>
      </c>
      <c r="H168" s="16" t="n">
        <f aca="false">C168*G168</f>
        <v>397.22</v>
      </c>
      <c r="I168" s="16" t="n">
        <f aca="false">E168+F168</f>
        <v>297.51</v>
      </c>
      <c r="J168" s="16" t="n">
        <f aca="false">C168*I168</f>
        <v>297.51</v>
      </c>
      <c r="K168" s="17" t="n">
        <f aca="false">IF(I168=0,"-",(G168-I168)/I168)</f>
        <v>0.335148398373164</v>
      </c>
    </row>
    <row r="169" customFormat="false" ht="15" hidden="false" customHeight="true" outlineLevel="0" collapsed="false">
      <c r="A169" s="12" t="n">
        <v>120</v>
      </c>
      <c r="B169" s="13" t="s">
        <v>198</v>
      </c>
      <c r="C169" s="14" t="n">
        <v>1</v>
      </c>
      <c r="D169" s="12" t="s">
        <v>47</v>
      </c>
      <c r="E169" s="15" t="n">
        <v>178.51</v>
      </c>
      <c r="F169" s="15" t="n">
        <v>46.98</v>
      </c>
      <c r="G169" s="15" t="n">
        <v>297.91</v>
      </c>
      <c r="H169" s="16" t="n">
        <f aca="false">C169*G169</f>
        <v>297.91</v>
      </c>
      <c r="I169" s="16" t="n">
        <f aca="false">E169+F169</f>
        <v>225.49</v>
      </c>
      <c r="J169" s="16" t="n">
        <f aca="false">C169*I169</f>
        <v>225.49</v>
      </c>
      <c r="K169" s="17" t="n">
        <f aca="false">IF(I169=0,"-",(G169-I169)/I169)</f>
        <v>0.321167235797597</v>
      </c>
    </row>
    <row r="170" customFormat="false" ht="15" hidden="false" customHeight="true" outlineLevel="0" collapsed="false">
      <c r="A170" s="12" t="n">
        <v>121</v>
      </c>
      <c r="B170" s="13" t="s">
        <v>199</v>
      </c>
      <c r="C170" s="14" t="n">
        <v>1</v>
      </c>
      <c r="D170" s="12" t="s">
        <v>47</v>
      </c>
      <c r="E170" s="15" t="n">
        <v>140.93</v>
      </c>
      <c r="F170" s="15" t="n">
        <v>46.98</v>
      </c>
      <c r="G170" s="15" t="n">
        <v>255.36</v>
      </c>
      <c r="H170" s="16" t="n">
        <f aca="false">C170*G170</f>
        <v>255.36</v>
      </c>
      <c r="I170" s="16" t="n">
        <f aca="false">E170+F170</f>
        <v>187.91</v>
      </c>
      <c r="J170" s="16" t="n">
        <f aca="false">C170*I170</f>
        <v>187.91</v>
      </c>
      <c r="K170" s="17" t="n">
        <f aca="false">IF(I170=0,"-",(G170-I170)/I170)</f>
        <v>0.358948432760364</v>
      </c>
    </row>
    <row r="171" customFormat="false" ht="15" hidden="false" customHeight="true" outlineLevel="0" collapsed="false">
      <c r="A171" s="12" t="n">
        <v>122</v>
      </c>
      <c r="B171" s="13" t="s">
        <v>200</v>
      </c>
      <c r="C171" s="14" t="n">
        <v>1</v>
      </c>
      <c r="D171" s="12" t="s">
        <v>47</v>
      </c>
      <c r="E171" s="15" t="n">
        <v>1127.41</v>
      </c>
      <c r="F171" s="15" t="n">
        <v>313.17</v>
      </c>
      <c r="G171" s="15" t="n">
        <v>1929.35</v>
      </c>
      <c r="H171" s="16" t="n">
        <f aca="false">C171*G171</f>
        <v>1929.35</v>
      </c>
      <c r="I171" s="16" t="n">
        <f aca="false">E171+F171</f>
        <v>1440.58</v>
      </c>
      <c r="J171" s="16" t="n">
        <f aca="false">C171*I171</f>
        <v>1440.58</v>
      </c>
      <c r="K171" s="17" t="n">
        <f aca="false">IF(I171=0,"-",(G171-I171)/I171)</f>
        <v>0.339286953865804</v>
      </c>
    </row>
    <row r="172" customFormat="false" ht="15" hidden="false" customHeight="true" outlineLevel="0" collapsed="false">
      <c r="A172" s="12" t="n">
        <v>123</v>
      </c>
      <c r="B172" s="13" t="s">
        <v>201</v>
      </c>
      <c r="C172" s="14" t="n">
        <v>3</v>
      </c>
      <c r="D172" s="12" t="s">
        <v>47</v>
      </c>
      <c r="E172" s="15" t="n">
        <v>203.56</v>
      </c>
      <c r="F172" s="15" t="n">
        <v>78.29</v>
      </c>
      <c r="G172" s="15" t="n">
        <v>368.85</v>
      </c>
      <c r="H172" s="16" t="n">
        <f aca="false">C172*G172</f>
        <v>1106.55</v>
      </c>
      <c r="I172" s="16" t="n">
        <f aca="false">E172+F172</f>
        <v>281.85</v>
      </c>
      <c r="J172" s="16" t="n">
        <f aca="false">C172*I172</f>
        <v>845.55</v>
      </c>
      <c r="K172" s="17" t="n">
        <f aca="false">IF(I172=0,"-",(G172-I172)/I172)</f>
        <v>0.308674827035657</v>
      </c>
    </row>
    <row r="173" customFormat="false" ht="15" hidden="false" customHeight="true" outlineLevel="0" collapsed="false">
      <c r="A173" s="12" t="n">
        <v>124</v>
      </c>
      <c r="B173" s="13" t="s">
        <v>202</v>
      </c>
      <c r="C173" s="14" t="n">
        <v>1</v>
      </c>
      <c r="D173" s="12" t="s">
        <v>47</v>
      </c>
      <c r="E173" s="15" t="n">
        <v>1002.14</v>
      </c>
      <c r="F173" s="15" t="n">
        <v>219.22</v>
      </c>
      <c r="G173" s="15" t="n">
        <v>1588.88</v>
      </c>
      <c r="H173" s="16" t="n">
        <f aca="false">C173*G173</f>
        <v>1588.88</v>
      </c>
      <c r="I173" s="16" t="n">
        <f aca="false">E173+F173</f>
        <v>1221.36</v>
      </c>
      <c r="J173" s="16" t="n">
        <f aca="false">C173*I173</f>
        <v>1221.36</v>
      </c>
      <c r="K173" s="17" t="n">
        <f aca="false">IF(I173=0,"-",(G173-I173)/I173)</f>
        <v>0.300910460470296</v>
      </c>
    </row>
    <row r="174" customFormat="false" ht="15" hidden="false" customHeight="true" outlineLevel="0" collapsed="false">
      <c r="A174" s="12" t="n">
        <v>125</v>
      </c>
      <c r="B174" s="13" t="s">
        <v>203</v>
      </c>
      <c r="C174" s="14" t="n">
        <v>1</v>
      </c>
      <c r="D174" s="12" t="s">
        <v>47</v>
      </c>
      <c r="E174" s="15" t="n">
        <v>219.22</v>
      </c>
      <c r="F174" s="15" t="n">
        <v>93.95</v>
      </c>
      <c r="G174" s="15" t="n">
        <v>411.41</v>
      </c>
      <c r="H174" s="16" t="n">
        <f aca="false">C174*G174</f>
        <v>411.41</v>
      </c>
      <c r="I174" s="16" t="n">
        <f aca="false">E174+F174</f>
        <v>313.17</v>
      </c>
      <c r="J174" s="16" t="n">
        <f aca="false">C174*I174</f>
        <v>313.17</v>
      </c>
      <c r="K174" s="17" t="n">
        <f aca="false">IF(I174=0,"-",(G174-I174)/I174)</f>
        <v>0.313695436983108</v>
      </c>
    </row>
    <row r="175" customFormat="false" ht="15" hidden="false" customHeight="true" outlineLevel="0" collapsed="false">
      <c r="A175" s="12" t="n">
        <v>126</v>
      </c>
      <c r="B175" s="13" t="s">
        <v>204</v>
      </c>
      <c r="C175" s="14" t="n">
        <v>1</v>
      </c>
      <c r="D175" s="12" t="s">
        <v>47</v>
      </c>
      <c r="E175" s="15" t="n">
        <v>172.24</v>
      </c>
      <c r="F175" s="15" t="n">
        <v>78.29</v>
      </c>
      <c r="G175" s="15" t="n">
        <v>326.29</v>
      </c>
      <c r="H175" s="16" t="n">
        <f aca="false">C175*G175</f>
        <v>326.29</v>
      </c>
      <c r="I175" s="16" t="n">
        <f aca="false">E175+F175</f>
        <v>250.53</v>
      </c>
      <c r="J175" s="16" t="n">
        <f aca="false">C175*I175</f>
        <v>250.53</v>
      </c>
      <c r="K175" s="17" t="n">
        <f aca="false">IF(I175=0,"-",(G175-I175)/I175)</f>
        <v>0.30239891430168</v>
      </c>
    </row>
    <row r="176" customFormat="false" ht="15" hidden="false" customHeight="true" outlineLevel="0" collapsed="false">
      <c r="A176" s="12" t="n">
        <v>127</v>
      </c>
      <c r="B176" s="13" t="s">
        <v>205</v>
      </c>
      <c r="C176" s="14" t="n">
        <v>1</v>
      </c>
      <c r="D176" s="12" t="s">
        <v>47</v>
      </c>
      <c r="E176" s="15" t="n">
        <v>53.24</v>
      </c>
      <c r="F176" s="15" t="n">
        <v>78.29</v>
      </c>
      <c r="G176" s="15" t="n">
        <v>184.42</v>
      </c>
      <c r="H176" s="16" t="n">
        <f aca="false">C176*G176</f>
        <v>184.42</v>
      </c>
      <c r="I176" s="16" t="n">
        <f aca="false">E176+F176</f>
        <v>131.53</v>
      </c>
      <c r="J176" s="16" t="n">
        <f aca="false">C176*I176</f>
        <v>131.53</v>
      </c>
      <c r="K176" s="17" t="n">
        <f aca="false">IF(I176=0,"-",(G176-I176)/I176)</f>
        <v>0.402113586254086</v>
      </c>
    </row>
    <row r="177" customFormat="false" ht="15" hidden="false" customHeight="true" outlineLevel="0" collapsed="false">
      <c r="A177" s="12" t="n">
        <v>128</v>
      </c>
      <c r="B177" s="13" t="s">
        <v>206</v>
      </c>
      <c r="C177" s="14" t="n">
        <v>3</v>
      </c>
      <c r="D177" s="12" t="s">
        <v>47</v>
      </c>
      <c r="E177" s="15" t="n">
        <v>28.19</v>
      </c>
      <c r="F177" s="15" t="n">
        <v>34.45</v>
      </c>
      <c r="G177" s="15" t="n">
        <v>85.12</v>
      </c>
      <c r="H177" s="16" t="n">
        <f aca="false">C177*G177</f>
        <v>255.36</v>
      </c>
      <c r="I177" s="16" t="n">
        <f aca="false">E177+F177</f>
        <v>62.64</v>
      </c>
      <c r="J177" s="16" t="n">
        <f aca="false">C177*I177</f>
        <v>187.92</v>
      </c>
      <c r="K177" s="17" t="n">
        <f aca="false">IF(I177=0,"-",(G177-I177)/I177)</f>
        <v>0.358876117496807</v>
      </c>
    </row>
    <row r="178" customFormat="false" ht="15" hidden="false" customHeight="true" outlineLevel="0" collapsed="false">
      <c r="A178" s="12" t="n">
        <v>129</v>
      </c>
      <c r="B178" s="13" t="s">
        <v>207</v>
      </c>
      <c r="C178" s="14" t="n">
        <v>4</v>
      </c>
      <c r="D178" s="12" t="s">
        <v>47</v>
      </c>
      <c r="E178" s="15" t="n">
        <v>78.29</v>
      </c>
      <c r="F178" s="15" t="n">
        <v>109.61</v>
      </c>
      <c r="G178" s="15" t="n">
        <v>255.36</v>
      </c>
      <c r="H178" s="16" t="n">
        <f aca="false">C178*G178</f>
        <v>1021.44</v>
      </c>
      <c r="I178" s="16" t="n">
        <f aca="false">E178+F178</f>
        <v>187.9</v>
      </c>
      <c r="J178" s="16" t="n">
        <f aca="false">C178*I178</f>
        <v>751.6</v>
      </c>
      <c r="K178" s="17" t="n">
        <f aca="false">IF(I178=0,"-",(G178-I178)/I178)</f>
        <v>0.359020755721128</v>
      </c>
    </row>
    <row r="179" customFormat="false" ht="15" hidden="false" customHeight="true" outlineLevel="0" collapsed="false">
      <c r="A179" s="18"/>
      <c r="B179" s="18" t="s">
        <v>208</v>
      </c>
      <c r="C179" s="18"/>
      <c r="D179" s="18"/>
      <c r="E179" s="18"/>
      <c r="F179" s="18"/>
      <c r="G179" s="18"/>
      <c r="H179" s="19" t="n">
        <f aca="false">SUM(H164:H178)</f>
        <v>18967.25</v>
      </c>
      <c r="I179" s="18"/>
      <c r="J179" s="19" t="n">
        <f aca="false">SUM(J164:J178)</f>
        <v>14308.74</v>
      </c>
      <c r="K179" s="18"/>
    </row>
    <row r="180" customFormat="false" ht="15" hidden="false" customHeight="false" outlineLevel="0" collapsed="false"/>
    <row r="181" customFormat="false" ht="15" hidden="false" customHeight="true" outlineLevel="0" collapsed="false">
      <c r="A181" s="10"/>
      <c r="B181" s="11" t="s">
        <v>209</v>
      </c>
      <c r="C181" s="11"/>
      <c r="D181" s="11"/>
      <c r="E181" s="11"/>
      <c r="F181" s="11"/>
      <c r="G181" s="11"/>
      <c r="H181" s="11"/>
      <c r="I181" s="11"/>
      <c r="J181" s="11"/>
      <c r="K181" s="11"/>
    </row>
    <row r="182" customFormat="false" ht="15" hidden="false" customHeight="true" outlineLevel="0" collapsed="false">
      <c r="A182" s="12" t="n">
        <v>130</v>
      </c>
      <c r="B182" s="13" t="s">
        <v>210</v>
      </c>
      <c r="C182" s="14" t="n">
        <v>1</v>
      </c>
      <c r="D182" s="12" t="s">
        <v>45</v>
      </c>
      <c r="E182" s="15" t="n">
        <v>3444.86</v>
      </c>
      <c r="F182" s="15" t="n">
        <v>1565.85</v>
      </c>
      <c r="G182" s="15" t="n">
        <v>6525.74</v>
      </c>
      <c r="H182" s="16" t="n">
        <f aca="false">C182*G182</f>
        <v>6525.74</v>
      </c>
      <c r="I182" s="16" t="n">
        <f aca="false">E182+F182</f>
        <v>5010.71</v>
      </c>
      <c r="J182" s="16" t="n">
        <f aca="false">C182*I182</f>
        <v>5010.71</v>
      </c>
      <c r="K182" s="17" t="n">
        <f aca="false">IF(I182=0,"-",(G182-I182)/I182)</f>
        <v>0.302358348417689</v>
      </c>
    </row>
    <row r="183" customFormat="false" ht="15" hidden="false" customHeight="true" outlineLevel="0" collapsed="false">
      <c r="A183" s="12" t="n">
        <v>131</v>
      </c>
      <c r="B183" s="13" t="s">
        <v>211</v>
      </c>
      <c r="C183" s="14" t="n">
        <v>1</v>
      </c>
      <c r="D183" s="12" t="s">
        <v>45</v>
      </c>
      <c r="E183" s="15" t="n">
        <v>2630.62</v>
      </c>
      <c r="F183" s="15" t="n">
        <v>1252.68</v>
      </c>
      <c r="G183" s="15" t="n">
        <v>5107.1</v>
      </c>
      <c r="H183" s="16" t="n">
        <f aca="false">C183*G183</f>
        <v>5107.1</v>
      </c>
      <c r="I183" s="16" t="n">
        <f aca="false">E183+F183</f>
        <v>3883.3</v>
      </c>
      <c r="J183" s="16" t="n">
        <f aca="false">C183*I183</f>
        <v>3883.3</v>
      </c>
      <c r="K183" s="17" t="n">
        <f aca="false">IF(I183=0,"-",(G183-I183)/I183)</f>
        <v>0.315144336002884</v>
      </c>
    </row>
    <row r="184" customFormat="false" ht="15" hidden="false" customHeight="true" outlineLevel="0" collapsed="false">
      <c r="A184" s="12" t="n">
        <v>132</v>
      </c>
      <c r="B184" s="13" t="s">
        <v>212</v>
      </c>
      <c r="C184" s="14" t="n">
        <v>2250</v>
      </c>
      <c r="D184" s="12" t="s">
        <v>59</v>
      </c>
      <c r="E184" s="15" t="n">
        <v>0.94</v>
      </c>
      <c r="F184" s="15" t="n">
        <v>0.78</v>
      </c>
      <c r="G184" s="15" t="n">
        <v>2.27</v>
      </c>
      <c r="H184" s="16" t="n">
        <f aca="false">C184*G184</f>
        <v>5107.5</v>
      </c>
      <c r="I184" s="16" t="n">
        <f aca="false">E184+F184</f>
        <v>1.72</v>
      </c>
      <c r="J184" s="16" t="n">
        <f aca="false">C184*I184</f>
        <v>3870</v>
      </c>
      <c r="K184" s="17" t="n">
        <f aca="false">IF(I184=0,"-",(G184-I184)/I184)</f>
        <v>0.319767441860465</v>
      </c>
    </row>
    <row r="185" customFormat="false" ht="15" hidden="false" customHeight="true" outlineLevel="0" collapsed="false">
      <c r="A185" s="12" t="n">
        <v>133</v>
      </c>
      <c r="B185" s="13" t="s">
        <v>213</v>
      </c>
      <c r="C185" s="14" t="n">
        <v>2</v>
      </c>
      <c r="D185" s="12" t="s">
        <v>47</v>
      </c>
      <c r="E185" s="15" t="n">
        <v>140.93</v>
      </c>
      <c r="F185" s="15" t="n">
        <v>31.32</v>
      </c>
      <c r="G185" s="15" t="n">
        <v>226.98</v>
      </c>
      <c r="H185" s="16" t="n">
        <f aca="false">C185*G185</f>
        <v>453.96</v>
      </c>
      <c r="I185" s="16" t="n">
        <f aca="false">E185+F185</f>
        <v>172.25</v>
      </c>
      <c r="J185" s="16" t="n">
        <f aca="false">C185*I185</f>
        <v>344.5</v>
      </c>
      <c r="K185" s="17" t="n">
        <f aca="false">IF(I185=0,"-",(G185-I185)/I185)</f>
        <v>0.317735849056604</v>
      </c>
    </row>
    <row r="186" customFormat="false" ht="15" hidden="false" customHeight="true" outlineLevel="0" collapsed="false">
      <c r="A186" s="12" t="n">
        <v>134</v>
      </c>
      <c r="B186" s="13" t="s">
        <v>214</v>
      </c>
      <c r="C186" s="14" t="n">
        <v>28</v>
      </c>
      <c r="D186" s="12" t="s">
        <v>47</v>
      </c>
      <c r="E186" s="15" t="n">
        <v>11.27</v>
      </c>
      <c r="F186" s="15" t="n">
        <v>5.01</v>
      </c>
      <c r="G186" s="15" t="n">
        <v>21.56</v>
      </c>
      <c r="H186" s="16" t="n">
        <f aca="false">C186*G186</f>
        <v>603.68</v>
      </c>
      <c r="I186" s="16" t="n">
        <f aca="false">E186+F186</f>
        <v>16.28</v>
      </c>
      <c r="J186" s="16" t="n">
        <f aca="false">C186*I186</f>
        <v>455.84</v>
      </c>
      <c r="K186" s="17" t="n">
        <f aca="false">IF(I186=0,"-",(G186-I186)/I186)</f>
        <v>0.324324324324324</v>
      </c>
    </row>
    <row r="187" customFormat="false" ht="15" hidden="false" customHeight="true" outlineLevel="0" collapsed="false">
      <c r="A187" s="12" t="n">
        <v>135</v>
      </c>
      <c r="B187" s="13" t="s">
        <v>215</v>
      </c>
      <c r="C187" s="14" t="n">
        <v>3</v>
      </c>
      <c r="D187" s="12" t="s">
        <v>47</v>
      </c>
      <c r="E187" s="15" t="n">
        <v>90.82</v>
      </c>
      <c r="F187" s="15" t="n">
        <v>40.71</v>
      </c>
      <c r="G187" s="15" t="n">
        <v>170.24</v>
      </c>
      <c r="H187" s="16" t="n">
        <f aca="false">C187*G187</f>
        <v>510.72</v>
      </c>
      <c r="I187" s="16" t="n">
        <f aca="false">E187+F187</f>
        <v>131.53</v>
      </c>
      <c r="J187" s="16" t="n">
        <f aca="false">C187*I187</f>
        <v>394.59</v>
      </c>
      <c r="K187" s="17" t="n">
        <f aca="false">IF(I187=0,"-",(G187-I187)/I187)</f>
        <v>0.29430548163917</v>
      </c>
    </row>
    <row r="188" customFormat="false" ht="15" hidden="false" customHeight="true" outlineLevel="0" collapsed="false">
      <c r="A188" s="12" t="n">
        <v>136</v>
      </c>
      <c r="B188" s="13" t="s">
        <v>216</v>
      </c>
      <c r="C188" s="14" t="n">
        <v>1</v>
      </c>
      <c r="D188" s="12" t="s">
        <v>47</v>
      </c>
      <c r="E188" s="15" t="n">
        <v>281.85</v>
      </c>
      <c r="F188" s="15" t="n">
        <v>125.27</v>
      </c>
      <c r="G188" s="15" t="n">
        <v>539.08</v>
      </c>
      <c r="H188" s="16" t="n">
        <f aca="false">C188*G188</f>
        <v>539.08</v>
      </c>
      <c r="I188" s="16" t="n">
        <f aca="false">E188+F188</f>
        <v>407.12</v>
      </c>
      <c r="J188" s="16" t="n">
        <f aca="false">C188*I188</f>
        <v>407.12</v>
      </c>
      <c r="K188" s="17" t="n">
        <f aca="false">IF(I188=0,"-",(G188-I188)/I188)</f>
        <v>0.324130477500491</v>
      </c>
    </row>
    <row r="189" customFormat="false" ht="15" hidden="false" customHeight="true" outlineLevel="0" collapsed="false">
      <c r="A189" s="12" t="n">
        <v>137</v>
      </c>
      <c r="B189" s="13" t="s">
        <v>217</v>
      </c>
      <c r="C189" s="14" t="n">
        <v>1</v>
      </c>
      <c r="D189" s="12" t="s">
        <v>45</v>
      </c>
      <c r="E189" s="15" t="n">
        <v>125.27</v>
      </c>
      <c r="F189" s="15" t="n">
        <v>250.54</v>
      </c>
      <c r="G189" s="15" t="n">
        <v>482.34</v>
      </c>
      <c r="H189" s="16" t="n">
        <f aca="false">C189*G189</f>
        <v>482.34</v>
      </c>
      <c r="I189" s="16" t="n">
        <f aca="false">E189+F189</f>
        <v>375.81</v>
      </c>
      <c r="J189" s="16" t="n">
        <f aca="false">C189*I189</f>
        <v>375.81</v>
      </c>
      <c r="K189" s="17" t="n">
        <f aca="false">IF(I189=0,"-",(G189-I189)/I189)</f>
        <v>0.283467709746947</v>
      </c>
    </row>
    <row r="190" customFormat="false" ht="15" hidden="false" customHeight="true" outlineLevel="0" collapsed="false">
      <c r="A190" s="18"/>
      <c r="B190" s="18" t="s">
        <v>218</v>
      </c>
      <c r="C190" s="18"/>
      <c r="D190" s="18"/>
      <c r="E190" s="18"/>
      <c r="F190" s="18"/>
      <c r="G190" s="18"/>
      <c r="H190" s="19" t="n">
        <f aca="false">SUM(H182:H189)</f>
        <v>19330.12</v>
      </c>
      <c r="I190" s="18"/>
      <c r="J190" s="19" t="n">
        <f aca="false">SUM(J182:J189)</f>
        <v>14741.87</v>
      </c>
      <c r="K190" s="18"/>
    </row>
    <row r="191" customFormat="false" ht="15" hidden="false" customHeight="false" outlineLevel="0" collapsed="false"/>
    <row r="192" customFormat="false" ht="15" hidden="false" customHeight="true" outlineLevel="0" collapsed="false">
      <c r="A192" s="10"/>
      <c r="B192" s="11" t="s">
        <v>219</v>
      </c>
      <c r="C192" s="11"/>
      <c r="D192" s="11"/>
      <c r="E192" s="11"/>
      <c r="F192" s="11"/>
      <c r="G192" s="11"/>
      <c r="H192" s="11"/>
      <c r="I192" s="11"/>
      <c r="J192" s="11"/>
      <c r="K192" s="11"/>
    </row>
    <row r="193" customFormat="false" ht="15" hidden="false" customHeight="true" outlineLevel="0" collapsed="false">
      <c r="A193" s="12" t="n">
        <v>138</v>
      </c>
      <c r="B193" s="13" t="s">
        <v>220</v>
      </c>
      <c r="C193" s="14" t="n">
        <v>1</v>
      </c>
      <c r="D193" s="12" t="s">
        <v>45</v>
      </c>
      <c r="E193" s="15" t="n">
        <v>3444.86</v>
      </c>
      <c r="F193" s="15" t="n">
        <v>4697.54</v>
      </c>
      <c r="G193" s="15" t="n">
        <v>10781.66</v>
      </c>
      <c r="H193" s="16" t="n">
        <f aca="false">C193*G193</f>
        <v>10781.66</v>
      </c>
      <c r="I193" s="16" t="n">
        <f aca="false">E193+F193</f>
        <v>8142.4</v>
      </c>
      <c r="J193" s="16" t="n">
        <f aca="false">C193*I193</f>
        <v>8142.4</v>
      </c>
      <c r="K193" s="17" t="n">
        <f aca="false">IF(I193=0,"-",(G193-I193)/I193)</f>
        <v>0.324137846335233</v>
      </c>
    </row>
    <row r="194" customFormat="false" ht="15" hidden="false" customHeight="true" outlineLevel="0" collapsed="false">
      <c r="A194" s="12" t="n">
        <v>139</v>
      </c>
      <c r="B194" s="13" t="s">
        <v>221</v>
      </c>
      <c r="C194" s="14" t="n">
        <v>65</v>
      </c>
      <c r="D194" s="12" t="s">
        <v>47</v>
      </c>
      <c r="E194" s="15" t="n">
        <v>2.82</v>
      </c>
      <c r="F194" s="15" t="n">
        <v>7.52</v>
      </c>
      <c r="G194" s="15" t="n">
        <v>13.62</v>
      </c>
      <c r="H194" s="16" t="n">
        <f aca="false">C194*G194</f>
        <v>885.3</v>
      </c>
      <c r="I194" s="16" t="n">
        <f aca="false">E194+F194</f>
        <v>10.34</v>
      </c>
      <c r="J194" s="16" t="n">
        <f aca="false">C194*I194</f>
        <v>672.1</v>
      </c>
      <c r="K194" s="17" t="n">
        <f aca="false">IF(I194=0,"-",(G194-I194)/I194)</f>
        <v>0.317214700193424</v>
      </c>
    </row>
    <row r="195" customFormat="false" ht="15" hidden="false" customHeight="true" outlineLevel="0" collapsed="false">
      <c r="A195" s="12" t="n">
        <v>140</v>
      </c>
      <c r="B195" s="13" t="s">
        <v>222</v>
      </c>
      <c r="C195" s="14" t="n">
        <v>12</v>
      </c>
      <c r="D195" s="12" t="s">
        <v>47</v>
      </c>
      <c r="E195" s="15" t="n">
        <v>11.27</v>
      </c>
      <c r="F195" s="15" t="n">
        <v>9.4</v>
      </c>
      <c r="G195" s="15" t="n">
        <v>27.24</v>
      </c>
      <c r="H195" s="16" t="n">
        <f aca="false">C195*G195</f>
        <v>326.88</v>
      </c>
      <c r="I195" s="16" t="n">
        <f aca="false">E195+F195</f>
        <v>20.67</v>
      </c>
      <c r="J195" s="16" t="n">
        <f aca="false">C195*I195</f>
        <v>248.04</v>
      </c>
      <c r="K195" s="17" t="n">
        <f aca="false">IF(I195=0,"-",(G195-I195)/I195)</f>
        <v>0.317851959361393</v>
      </c>
    </row>
    <row r="196" customFormat="false" ht="15" hidden="false" customHeight="true" outlineLevel="0" collapsed="false">
      <c r="A196" s="12" t="n">
        <v>141</v>
      </c>
      <c r="B196" s="13" t="s">
        <v>223</v>
      </c>
      <c r="C196" s="14" t="n">
        <v>35</v>
      </c>
      <c r="D196" s="12" t="s">
        <v>47</v>
      </c>
      <c r="E196" s="15" t="n">
        <v>3.76</v>
      </c>
      <c r="F196" s="15" t="n">
        <v>6.26</v>
      </c>
      <c r="G196" s="15" t="n">
        <v>13.62</v>
      </c>
      <c r="H196" s="16" t="n">
        <f aca="false">C196*G196</f>
        <v>476.7</v>
      </c>
      <c r="I196" s="16" t="n">
        <f aca="false">E196+F196</f>
        <v>10.02</v>
      </c>
      <c r="J196" s="16" t="n">
        <f aca="false">C196*I196</f>
        <v>350.7</v>
      </c>
      <c r="K196" s="17" t="n">
        <f aca="false">IF(I196=0,"-",(G196-I196)/I196)</f>
        <v>0.359281437125749</v>
      </c>
    </row>
    <row r="197" customFormat="false" ht="15" hidden="false" customHeight="true" outlineLevel="0" collapsed="false">
      <c r="A197" s="12" t="n">
        <v>142</v>
      </c>
      <c r="B197" s="13" t="s">
        <v>224</v>
      </c>
      <c r="C197" s="14" t="n">
        <v>32</v>
      </c>
      <c r="D197" s="12" t="s">
        <v>47</v>
      </c>
      <c r="E197" s="15" t="n">
        <v>17.54</v>
      </c>
      <c r="F197" s="15" t="n">
        <v>15.66</v>
      </c>
      <c r="G197" s="15" t="n">
        <v>42.56</v>
      </c>
      <c r="H197" s="16" t="n">
        <f aca="false">C197*G197</f>
        <v>1361.92</v>
      </c>
      <c r="I197" s="16" t="n">
        <f aca="false">E197+F197</f>
        <v>33.2</v>
      </c>
      <c r="J197" s="16" t="n">
        <f aca="false">C197*I197</f>
        <v>1062.4</v>
      </c>
      <c r="K197" s="17" t="n">
        <f aca="false">IF(I197=0,"-",(G197-I197)/I197)</f>
        <v>0.281927710843374</v>
      </c>
    </row>
    <row r="198" customFormat="false" ht="15" hidden="false" customHeight="true" outlineLevel="0" collapsed="false">
      <c r="A198" s="12" t="n">
        <v>143</v>
      </c>
      <c r="B198" s="13" t="s">
        <v>225</v>
      </c>
      <c r="C198" s="14" t="n">
        <v>1</v>
      </c>
      <c r="D198" s="12" t="s">
        <v>45</v>
      </c>
      <c r="E198" s="15" t="n">
        <v>1753.75</v>
      </c>
      <c r="F198" s="15" t="n">
        <v>250.54</v>
      </c>
      <c r="G198" s="15" t="n">
        <v>2723.79</v>
      </c>
      <c r="H198" s="16" t="n">
        <f aca="false">C198*G198</f>
        <v>2723.79</v>
      </c>
      <c r="I198" s="16" t="n">
        <f aca="false">E198+F198</f>
        <v>2004.29</v>
      </c>
      <c r="J198" s="16" t="n">
        <f aca="false">C198*I198</f>
        <v>2004.29</v>
      </c>
      <c r="K198" s="17" t="n">
        <f aca="false">IF(I198=0,"-",(G198-I198)/I198)</f>
        <v>0.358979987925899</v>
      </c>
    </row>
    <row r="199" customFormat="false" ht="15" hidden="false" customHeight="true" outlineLevel="0" collapsed="false">
      <c r="A199" s="12" t="n">
        <v>144</v>
      </c>
      <c r="B199" s="13" t="s">
        <v>226</v>
      </c>
      <c r="C199" s="14" t="n">
        <v>16</v>
      </c>
      <c r="D199" s="12" t="s">
        <v>63</v>
      </c>
      <c r="E199" s="15" t="n">
        <v>7.52</v>
      </c>
      <c r="F199" s="15" t="n">
        <v>5.01</v>
      </c>
      <c r="G199" s="15" t="n">
        <v>15.89</v>
      </c>
      <c r="H199" s="16" t="n">
        <f aca="false">C199*G199</f>
        <v>254.24</v>
      </c>
      <c r="I199" s="16" t="n">
        <f aca="false">E199+F199</f>
        <v>12.53</v>
      </c>
      <c r="J199" s="16" t="n">
        <f aca="false">C199*I199</f>
        <v>200.48</v>
      </c>
      <c r="K199" s="17" t="n">
        <f aca="false">IF(I199=0,"-",(G199-I199)/I199)</f>
        <v>0.268156424581006</v>
      </c>
    </row>
    <row r="200" customFormat="false" ht="15" hidden="false" customHeight="true" outlineLevel="0" collapsed="false">
      <c r="A200" s="12" t="n">
        <v>145</v>
      </c>
      <c r="B200" s="13" t="s">
        <v>227</v>
      </c>
      <c r="C200" s="14" t="n">
        <v>8</v>
      </c>
      <c r="D200" s="12" t="s">
        <v>47</v>
      </c>
      <c r="E200" s="15" t="n">
        <v>40.71</v>
      </c>
      <c r="F200" s="15" t="n">
        <v>21.92</v>
      </c>
      <c r="G200" s="15" t="n">
        <v>82.28</v>
      </c>
      <c r="H200" s="16" t="n">
        <f aca="false">C200*G200</f>
        <v>658.24</v>
      </c>
      <c r="I200" s="16" t="n">
        <f aca="false">E200+F200</f>
        <v>62.63</v>
      </c>
      <c r="J200" s="16" t="n">
        <f aca="false">C200*I200</f>
        <v>501.04</v>
      </c>
      <c r="K200" s="17" t="n">
        <f aca="false">IF(I200=0,"-",(G200-I200)/I200)</f>
        <v>0.313747405396775</v>
      </c>
    </row>
    <row r="201" customFormat="false" ht="15" hidden="false" customHeight="true" outlineLevel="0" collapsed="false">
      <c r="A201" s="12" t="n">
        <v>146</v>
      </c>
      <c r="B201" s="13" t="s">
        <v>228</v>
      </c>
      <c r="C201" s="14" t="n">
        <v>4</v>
      </c>
      <c r="D201" s="12" t="s">
        <v>47</v>
      </c>
      <c r="E201" s="15" t="n">
        <v>115.87</v>
      </c>
      <c r="F201" s="15" t="n">
        <v>40.71</v>
      </c>
      <c r="G201" s="15" t="n">
        <v>212.8</v>
      </c>
      <c r="H201" s="16" t="n">
        <f aca="false">C201*G201</f>
        <v>851.2</v>
      </c>
      <c r="I201" s="16" t="n">
        <f aca="false">E201+F201</f>
        <v>156.58</v>
      </c>
      <c r="J201" s="16" t="n">
        <f aca="false">C201*I201</f>
        <v>626.32</v>
      </c>
      <c r="K201" s="17" t="n">
        <f aca="false">IF(I201=0,"-",(G201-I201)/I201)</f>
        <v>0.359049687060927</v>
      </c>
    </row>
    <row r="202" customFormat="false" ht="15" hidden="false" customHeight="true" outlineLevel="0" collapsed="false">
      <c r="A202" s="12" t="n">
        <v>147</v>
      </c>
      <c r="B202" s="13" t="s">
        <v>229</v>
      </c>
      <c r="C202" s="14" t="n">
        <v>8</v>
      </c>
      <c r="D202" s="12" t="s">
        <v>47</v>
      </c>
      <c r="E202" s="15" t="n">
        <v>21.92</v>
      </c>
      <c r="F202" s="15" t="n">
        <v>9.4</v>
      </c>
      <c r="G202" s="15" t="n">
        <v>40.86</v>
      </c>
      <c r="H202" s="16" t="n">
        <f aca="false">C202*G202</f>
        <v>326.88</v>
      </c>
      <c r="I202" s="16" t="n">
        <f aca="false">E202+F202</f>
        <v>31.32</v>
      </c>
      <c r="J202" s="16" t="n">
        <f aca="false">C202*I202</f>
        <v>250.56</v>
      </c>
      <c r="K202" s="17" t="n">
        <f aca="false">IF(I202=0,"-",(G202-I202)/I202)</f>
        <v>0.304597701149425</v>
      </c>
    </row>
    <row r="203" customFormat="false" ht="15" hidden="false" customHeight="true" outlineLevel="0" collapsed="false">
      <c r="A203" s="12" t="n">
        <v>148</v>
      </c>
      <c r="B203" s="13" t="s">
        <v>230</v>
      </c>
      <c r="C203" s="14" t="n">
        <v>1</v>
      </c>
      <c r="D203" s="12" t="s">
        <v>47</v>
      </c>
      <c r="E203" s="15" t="n">
        <v>109.61</v>
      </c>
      <c r="F203" s="15" t="n">
        <v>31.32</v>
      </c>
      <c r="G203" s="15" t="n">
        <v>184.42</v>
      </c>
      <c r="H203" s="16" t="n">
        <f aca="false">C203*G203</f>
        <v>184.42</v>
      </c>
      <c r="I203" s="16" t="n">
        <f aca="false">E203+F203</f>
        <v>140.93</v>
      </c>
      <c r="J203" s="16" t="n">
        <f aca="false">C203*I203</f>
        <v>140.93</v>
      </c>
      <c r="K203" s="17" t="n">
        <f aca="false">IF(I203=0,"-",(G203-I203)/I203)</f>
        <v>0.308592918470162</v>
      </c>
    </row>
    <row r="204" customFormat="false" ht="15" hidden="false" customHeight="true" outlineLevel="0" collapsed="false">
      <c r="A204" s="12" t="n">
        <v>149</v>
      </c>
      <c r="B204" s="13" t="s">
        <v>231</v>
      </c>
      <c r="C204" s="14" t="n">
        <v>8</v>
      </c>
      <c r="D204" s="12" t="s">
        <v>47</v>
      </c>
      <c r="E204" s="15" t="n">
        <v>28.19</v>
      </c>
      <c r="F204" s="15" t="n">
        <v>15.66</v>
      </c>
      <c r="G204" s="15" t="n">
        <v>56.75</v>
      </c>
      <c r="H204" s="16" t="n">
        <f aca="false">C204*G204</f>
        <v>454</v>
      </c>
      <c r="I204" s="16" t="n">
        <f aca="false">E204+F204</f>
        <v>43.85</v>
      </c>
      <c r="J204" s="16" t="n">
        <f aca="false">C204*I204</f>
        <v>350.8</v>
      </c>
      <c r="K204" s="17" t="n">
        <f aca="false">IF(I204=0,"-",(G204-I204)/I204)</f>
        <v>0.29418472063854</v>
      </c>
    </row>
    <row r="205" customFormat="false" ht="15" hidden="false" customHeight="true" outlineLevel="0" collapsed="false">
      <c r="A205" s="12" t="n">
        <v>150</v>
      </c>
      <c r="B205" s="13" t="s">
        <v>232</v>
      </c>
      <c r="C205" s="14" t="n">
        <v>1</v>
      </c>
      <c r="D205" s="12" t="s">
        <v>47</v>
      </c>
      <c r="E205" s="15" t="n">
        <v>281.85</v>
      </c>
      <c r="F205" s="15" t="n">
        <v>156.58</v>
      </c>
      <c r="G205" s="15" t="n">
        <v>567.46</v>
      </c>
      <c r="H205" s="16" t="n">
        <f aca="false">C205*G205</f>
        <v>567.46</v>
      </c>
      <c r="I205" s="16" t="n">
        <f aca="false">E205+F205</f>
        <v>438.43</v>
      </c>
      <c r="J205" s="16" t="n">
        <f aca="false">C205*I205</f>
        <v>438.43</v>
      </c>
      <c r="K205" s="17" t="n">
        <f aca="false">IF(I205=0,"-",(G205-I205)/I205)</f>
        <v>0.294300116324157</v>
      </c>
    </row>
    <row r="206" customFormat="false" ht="15" hidden="false" customHeight="true" outlineLevel="0" collapsed="false">
      <c r="A206" s="12" t="n">
        <v>151</v>
      </c>
      <c r="B206" s="13" t="s">
        <v>233</v>
      </c>
      <c r="C206" s="14" t="n">
        <v>1</v>
      </c>
      <c r="D206" s="12" t="s">
        <v>47</v>
      </c>
      <c r="E206" s="15" t="n">
        <v>109.61</v>
      </c>
      <c r="F206" s="15" t="n">
        <v>46.98</v>
      </c>
      <c r="G206" s="15" t="n">
        <v>212.8</v>
      </c>
      <c r="H206" s="16" t="n">
        <f aca="false">C206*G206</f>
        <v>212.8</v>
      </c>
      <c r="I206" s="16" t="n">
        <f aca="false">E206+F206</f>
        <v>156.59</v>
      </c>
      <c r="J206" s="16" t="n">
        <f aca="false">C206*I206</f>
        <v>156.59</v>
      </c>
      <c r="K206" s="17" t="n">
        <f aca="false">IF(I206=0,"-",(G206-I206)/I206)</f>
        <v>0.358962896736701</v>
      </c>
    </row>
    <row r="207" customFormat="false" ht="15" hidden="false" customHeight="true" outlineLevel="0" collapsed="false">
      <c r="A207" s="18"/>
      <c r="B207" s="18" t="s">
        <v>234</v>
      </c>
      <c r="C207" s="18"/>
      <c r="D207" s="18"/>
      <c r="E207" s="18"/>
      <c r="F207" s="18"/>
      <c r="G207" s="18"/>
      <c r="H207" s="19" t="n">
        <f aca="false">SUM(H193:H206)</f>
        <v>20065.49</v>
      </c>
      <c r="I207" s="18"/>
      <c r="J207" s="19" t="n">
        <f aca="false">SUM(J193:J206)</f>
        <v>15145.08</v>
      </c>
      <c r="K207" s="18"/>
    </row>
    <row r="208" customFormat="false" ht="15" hidden="false" customHeight="false" outlineLevel="0" collapsed="false"/>
    <row r="209" customFormat="false" ht="15" hidden="false" customHeight="true" outlineLevel="0" collapsed="false">
      <c r="A209" s="10"/>
      <c r="B209" s="11" t="s">
        <v>235</v>
      </c>
      <c r="C209" s="11"/>
      <c r="D209" s="11"/>
      <c r="E209" s="11"/>
      <c r="F209" s="11"/>
      <c r="G209" s="11"/>
      <c r="H209" s="11"/>
      <c r="I209" s="11"/>
      <c r="J209" s="11"/>
      <c r="K209" s="11"/>
    </row>
    <row r="210" customFormat="false" ht="15" hidden="false" customHeight="true" outlineLevel="0" collapsed="false">
      <c r="A210" s="12" t="n">
        <v>152</v>
      </c>
      <c r="B210" s="13" t="s">
        <v>236</v>
      </c>
      <c r="C210" s="14" t="n">
        <v>1</v>
      </c>
      <c r="D210" s="12" t="s">
        <v>47</v>
      </c>
      <c r="E210" s="15" t="n">
        <v>1377.95</v>
      </c>
      <c r="F210" s="15" t="n">
        <v>250.54</v>
      </c>
      <c r="G210" s="15" t="n">
        <v>2156.33</v>
      </c>
      <c r="H210" s="16" t="n">
        <f aca="false">C210*G210</f>
        <v>2156.33</v>
      </c>
      <c r="I210" s="16" t="n">
        <f aca="false">E210+F210</f>
        <v>1628.49</v>
      </c>
      <c r="J210" s="16" t="n">
        <f aca="false">C210*I210</f>
        <v>1628.49</v>
      </c>
      <c r="K210" s="17" t="n">
        <f aca="false">IF(I210=0,"-",(G210-I210)/I210)</f>
        <v>0.324128487126111</v>
      </c>
    </row>
    <row r="211" customFormat="false" ht="15" hidden="false" customHeight="true" outlineLevel="0" collapsed="false">
      <c r="A211" s="12" t="n">
        <v>153</v>
      </c>
      <c r="B211" s="13" t="s">
        <v>237</v>
      </c>
      <c r="C211" s="14" t="n">
        <v>50</v>
      </c>
      <c r="D211" s="12" t="s">
        <v>59</v>
      </c>
      <c r="E211" s="15" t="n">
        <v>8.77</v>
      </c>
      <c r="F211" s="15" t="n">
        <v>7.52</v>
      </c>
      <c r="G211" s="15" t="n">
        <v>21.56</v>
      </c>
      <c r="H211" s="16" t="n">
        <f aca="false">C211*G211</f>
        <v>1078</v>
      </c>
      <c r="I211" s="16" t="n">
        <f aca="false">E211+F211</f>
        <v>16.29</v>
      </c>
      <c r="J211" s="16" t="n">
        <f aca="false">C211*I211</f>
        <v>814.5</v>
      </c>
      <c r="K211" s="17" t="n">
        <f aca="false">IF(I211=0,"-",(G211-I211)/I211)</f>
        <v>0.323511356660528</v>
      </c>
    </row>
    <row r="212" customFormat="false" ht="15" hidden="false" customHeight="true" outlineLevel="0" collapsed="false">
      <c r="A212" s="12" t="n">
        <v>154</v>
      </c>
      <c r="B212" s="13" t="s">
        <v>238</v>
      </c>
      <c r="C212" s="14" t="n">
        <v>1</v>
      </c>
      <c r="D212" s="12" t="s">
        <v>47</v>
      </c>
      <c r="E212" s="15" t="n">
        <v>219.22</v>
      </c>
      <c r="F212" s="15" t="n">
        <v>125.27</v>
      </c>
      <c r="G212" s="15" t="n">
        <v>453.96</v>
      </c>
      <c r="H212" s="16" t="n">
        <f aca="false">C212*G212</f>
        <v>453.96</v>
      </c>
      <c r="I212" s="16" t="n">
        <f aca="false">E212+F212</f>
        <v>344.49</v>
      </c>
      <c r="J212" s="16" t="n">
        <f aca="false">C212*I212</f>
        <v>344.49</v>
      </c>
      <c r="K212" s="17" t="n">
        <f aca="false">IF(I212=0,"-",(G212-I212)/I212)</f>
        <v>0.317774100844727</v>
      </c>
    </row>
    <row r="213" customFormat="false" ht="15" hidden="false" customHeight="true" outlineLevel="0" collapsed="false">
      <c r="A213" s="12" t="n">
        <v>155</v>
      </c>
      <c r="B213" s="13" t="s">
        <v>239</v>
      </c>
      <c r="C213" s="14" t="n">
        <v>1</v>
      </c>
      <c r="D213" s="12" t="s">
        <v>47</v>
      </c>
      <c r="E213" s="15" t="n">
        <v>78.29</v>
      </c>
      <c r="F213" s="15" t="n">
        <v>109.61</v>
      </c>
      <c r="G213" s="15" t="n">
        <v>255.36</v>
      </c>
      <c r="H213" s="16" t="n">
        <f aca="false">C213*G213</f>
        <v>255.36</v>
      </c>
      <c r="I213" s="16" t="n">
        <f aca="false">E213+F213</f>
        <v>187.9</v>
      </c>
      <c r="J213" s="16" t="n">
        <f aca="false">C213*I213</f>
        <v>187.9</v>
      </c>
      <c r="K213" s="17" t="n">
        <f aca="false">IF(I213=0,"-",(G213-I213)/I213)</f>
        <v>0.359020755721128</v>
      </c>
    </row>
    <row r="214" customFormat="false" ht="15" hidden="false" customHeight="true" outlineLevel="0" collapsed="false">
      <c r="A214" s="12" t="n">
        <v>156</v>
      </c>
      <c r="B214" s="13" t="s">
        <v>240</v>
      </c>
      <c r="C214" s="14" t="n">
        <v>1</v>
      </c>
      <c r="D214" s="12" t="s">
        <v>45</v>
      </c>
      <c r="E214" s="15" t="n">
        <v>375.8</v>
      </c>
      <c r="F214" s="15" t="n">
        <v>250.54</v>
      </c>
      <c r="G214" s="15" t="n">
        <v>851.18</v>
      </c>
      <c r="H214" s="16" t="n">
        <f aca="false">C214*G214</f>
        <v>851.18</v>
      </c>
      <c r="I214" s="16" t="n">
        <f aca="false">E214+F214</f>
        <v>626.34</v>
      </c>
      <c r="J214" s="16" t="n">
        <f aca="false">C214*I214</f>
        <v>626.34</v>
      </c>
      <c r="K214" s="17" t="n">
        <f aca="false">IF(I214=0,"-",(G214-I214)/I214)</f>
        <v>0.358974358974359</v>
      </c>
    </row>
    <row r="215" customFormat="false" ht="15" hidden="false" customHeight="true" outlineLevel="0" collapsed="false">
      <c r="A215" s="18"/>
      <c r="B215" s="18" t="s">
        <v>241</v>
      </c>
      <c r="C215" s="18"/>
      <c r="D215" s="18"/>
      <c r="E215" s="18"/>
      <c r="F215" s="18"/>
      <c r="G215" s="18"/>
      <c r="H215" s="19" t="n">
        <f aca="false">SUM(H210:H214)</f>
        <v>4794.83</v>
      </c>
      <c r="I215" s="18"/>
      <c r="J215" s="19" t="n">
        <f aca="false">SUM(J210:J214)</f>
        <v>3601.72</v>
      </c>
      <c r="K215" s="18"/>
    </row>
    <row r="216" customFormat="false" ht="15" hidden="false" customHeight="false" outlineLevel="0" collapsed="false"/>
    <row r="217" customFormat="false" ht="15" hidden="false" customHeight="true" outlineLevel="0" collapsed="false">
      <c r="A217" s="10"/>
      <c r="B217" s="11" t="s">
        <v>242</v>
      </c>
      <c r="C217" s="11"/>
      <c r="D217" s="11"/>
      <c r="E217" s="11"/>
      <c r="F217" s="11"/>
      <c r="G217" s="11"/>
      <c r="H217" s="11"/>
      <c r="I217" s="11"/>
      <c r="J217" s="11"/>
      <c r="K217" s="11"/>
    </row>
    <row r="218" customFormat="false" ht="15" hidden="false" customHeight="true" outlineLevel="0" collapsed="false">
      <c r="A218" s="12" t="n">
        <v>157</v>
      </c>
      <c r="B218" s="13" t="s">
        <v>243</v>
      </c>
      <c r="C218" s="14" t="n">
        <v>1</v>
      </c>
      <c r="D218" s="12" t="s">
        <v>47</v>
      </c>
      <c r="E218" s="15" t="n">
        <v>1377.95</v>
      </c>
      <c r="F218" s="15" t="n">
        <v>0</v>
      </c>
      <c r="G218" s="15" t="n">
        <v>1588.88</v>
      </c>
      <c r="H218" s="16" t="n">
        <f aca="false">C218*G218</f>
        <v>1588.88</v>
      </c>
      <c r="I218" s="16" t="n">
        <f aca="false">E218+F218</f>
        <v>1377.95</v>
      </c>
      <c r="J218" s="16" t="n">
        <f aca="false">C218*I218</f>
        <v>1377.95</v>
      </c>
      <c r="K218" s="17" t="n">
        <f aca="false">IF(I218=0,"-",(G218-I218)/I218)</f>
        <v>0.153075220436155</v>
      </c>
    </row>
    <row r="219" customFormat="false" ht="15" hidden="false" customHeight="true" outlineLevel="0" collapsed="false">
      <c r="A219" s="12" t="n">
        <v>158</v>
      </c>
      <c r="B219" s="13" t="s">
        <v>244</v>
      </c>
      <c r="C219" s="14" t="n">
        <v>1</v>
      </c>
      <c r="D219" s="12" t="s">
        <v>47</v>
      </c>
      <c r="E219" s="15" t="n">
        <v>876.87</v>
      </c>
      <c r="F219" s="15" t="n">
        <v>0</v>
      </c>
      <c r="G219" s="15" t="n">
        <v>1021.42</v>
      </c>
      <c r="H219" s="16" t="n">
        <f aca="false">C219*G219</f>
        <v>1021.42</v>
      </c>
      <c r="I219" s="16" t="n">
        <f aca="false">E219+F219</f>
        <v>876.87</v>
      </c>
      <c r="J219" s="16" t="n">
        <f aca="false">C219*I219</f>
        <v>876.87</v>
      </c>
      <c r="K219" s="17" t="n">
        <f aca="false">IF(I219=0,"-",(G219-I219)/I219)</f>
        <v>0.164847696922007</v>
      </c>
    </row>
    <row r="220" customFormat="false" ht="15" hidden="false" customHeight="true" outlineLevel="0" collapsed="false">
      <c r="A220" s="12" t="n">
        <v>159</v>
      </c>
      <c r="B220" s="13" t="s">
        <v>245</v>
      </c>
      <c r="C220" s="14" t="n">
        <v>1</v>
      </c>
      <c r="D220" s="12" t="s">
        <v>47</v>
      </c>
      <c r="E220" s="15" t="n">
        <v>532.39</v>
      </c>
      <c r="F220" s="15" t="n">
        <v>46.98</v>
      </c>
      <c r="G220" s="15" t="n">
        <v>680.95</v>
      </c>
      <c r="H220" s="16" t="n">
        <f aca="false">C220*G220</f>
        <v>680.95</v>
      </c>
      <c r="I220" s="16" t="n">
        <f aca="false">E220+F220</f>
        <v>579.37</v>
      </c>
      <c r="J220" s="16" t="n">
        <f aca="false">C220*I220</f>
        <v>579.37</v>
      </c>
      <c r="K220" s="17" t="n">
        <f aca="false">IF(I220=0,"-",(G220-I220)/I220)</f>
        <v>0.1753283739234</v>
      </c>
    </row>
    <row r="221" customFormat="false" ht="15" hidden="false" customHeight="true" outlineLevel="0" collapsed="false">
      <c r="A221" s="12" t="n">
        <v>160</v>
      </c>
      <c r="B221" s="13" t="s">
        <v>246</v>
      </c>
      <c r="C221" s="14" t="n">
        <v>1</v>
      </c>
      <c r="D221" s="12" t="s">
        <v>47</v>
      </c>
      <c r="E221" s="15" t="n">
        <v>266.19</v>
      </c>
      <c r="F221" s="15" t="n">
        <v>46.98</v>
      </c>
      <c r="G221" s="15" t="n">
        <v>368.85</v>
      </c>
      <c r="H221" s="16" t="n">
        <f aca="false">C221*G221</f>
        <v>368.85</v>
      </c>
      <c r="I221" s="16" t="n">
        <f aca="false">E221+F221</f>
        <v>313.17</v>
      </c>
      <c r="J221" s="16" t="n">
        <f aca="false">C221*I221</f>
        <v>313.17</v>
      </c>
      <c r="K221" s="17" t="n">
        <f aca="false">IF(I221=0,"-",(G221-I221)/I221)</f>
        <v>0.177794807931794</v>
      </c>
    </row>
    <row r="222" customFormat="false" ht="15" hidden="false" customHeight="true" outlineLevel="0" collapsed="false">
      <c r="A222" s="12" t="n">
        <v>161</v>
      </c>
      <c r="B222" s="13" t="s">
        <v>247</v>
      </c>
      <c r="C222" s="14" t="n">
        <v>1</v>
      </c>
      <c r="D222" s="12" t="s">
        <v>45</v>
      </c>
      <c r="E222" s="15" t="n">
        <v>1127.41</v>
      </c>
      <c r="F222" s="15" t="n">
        <v>0</v>
      </c>
      <c r="G222" s="15" t="n">
        <v>1248.4</v>
      </c>
      <c r="H222" s="16" t="n">
        <f aca="false">C222*G222</f>
        <v>1248.4</v>
      </c>
      <c r="I222" s="16" t="n">
        <f aca="false">E222+F222</f>
        <v>1127.41</v>
      </c>
      <c r="J222" s="16" t="n">
        <f aca="false">C222*I222</f>
        <v>1127.41</v>
      </c>
      <c r="K222" s="17" t="n">
        <f aca="false">IF(I222=0,"-",(G222-I222)/I222)</f>
        <v>0.10731677029652</v>
      </c>
    </row>
    <row r="223" customFormat="false" ht="15" hidden="false" customHeight="true" outlineLevel="0" collapsed="false">
      <c r="A223" s="18"/>
      <c r="B223" s="18" t="s">
        <v>248</v>
      </c>
      <c r="C223" s="18"/>
      <c r="D223" s="18"/>
      <c r="E223" s="18"/>
      <c r="F223" s="18"/>
      <c r="G223" s="18"/>
      <c r="H223" s="19" t="n">
        <f aca="false">SUM(H218:H222)</f>
        <v>4908.5</v>
      </c>
      <c r="I223" s="18"/>
      <c r="J223" s="19" t="n">
        <f aca="false">SUM(J218:J222)</f>
        <v>4274.77</v>
      </c>
      <c r="K223" s="18"/>
    </row>
    <row r="224" customFormat="false" ht="15" hidden="false" customHeight="false" outlineLevel="0" collapsed="false"/>
    <row r="225" customFormat="false" ht="15" hidden="false" customHeight="true" outlineLevel="0" collapsed="false">
      <c r="A225" s="10"/>
      <c r="B225" s="11" t="s">
        <v>249</v>
      </c>
      <c r="C225" s="11"/>
      <c r="D225" s="11"/>
      <c r="E225" s="11"/>
      <c r="F225" s="11"/>
      <c r="G225" s="11"/>
      <c r="H225" s="11"/>
      <c r="I225" s="11"/>
      <c r="J225" s="11"/>
      <c r="K225" s="11"/>
    </row>
    <row r="226" customFormat="false" ht="15" hidden="false" customHeight="true" outlineLevel="0" collapsed="false">
      <c r="A226" s="12" t="n">
        <v>162</v>
      </c>
      <c r="B226" s="13" t="s">
        <v>250</v>
      </c>
      <c r="C226" s="14" t="n">
        <v>80</v>
      </c>
      <c r="D226" s="12" t="s">
        <v>59</v>
      </c>
      <c r="E226" s="15" t="n">
        <v>7.52</v>
      </c>
      <c r="F226" s="15" t="n">
        <v>5.01</v>
      </c>
      <c r="G226" s="15" t="n">
        <v>15.89</v>
      </c>
      <c r="H226" s="16" t="n">
        <f aca="false">C226*G226</f>
        <v>1271.2</v>
      </c>
      <c r="I226" s="16" t="n">
        <f aca="false">E226+F226</f>
        <v>12.53</v>
      </c>
      <c r="J226" s="16" t="n">
        <f aca="false">C226*I226</f>
        <v>1002.4</v>
      </c>
      <c r="K226" s="17" t="n">
        <f aca="false">IF(I226=0,"-",(G226-I226)/I226)</f>
        <v>0.268156424581006</v>
      </c>
    </row>
    <row r="227" customFormat="false" ht="15" hidden="false" customHeight="true" outlineLevel="0" collapsed="false">
      <c r="A227" s="12" t="n">
        <v>163</v>
      </c>
      <c r="B227" s="13" t="s">
        <v>251</v>
      </c>
      <c r="C227" s="14" t="n">
        <v>192</v>
      </c>
      <c r="D227" s="12" t="s">
        <v>59</v>
      </c>
      <c r="E227" s="15" t="n">
        <v>5.01</v>
      </c>
      <c r="F227" s="15" t="n">
        <v>3.44</v>
      </c>
      <c r="G227" s="15" t="n">
        <v>10.21</v>
      </c>
      <c r="H227" s="16" t="n">
        <f aca="false">C227*G227</f>
        <v>1960.32</v>
      </c>
      <c r="I227" s="16" t="n">
        <f aca="false">E227+F227</f>
        <v>8.45</v>
      </c>
      <c r="J227" s="16" t="n">
        <f aca="false">C227*I227</f>
        <v>1622.4</v>
      </c>
      <c r="K227" s="17" t="n">
        <f aca="false">IF(I227=0,"-",(G227-I227)/I227)</f>
        <v>0.208284023668639</v>
      </c>
    </row>
    <row r="228" customFormat="false" ht="15" hidden="false" customHeight="true" outlineLevel="0" collapsed="false">
      <c r="A228" s="12" t="n">
        <v>164</v>
      </c>
      <c r="B228" s="13" t="s">
        <v>252</v>
      </c>
      <c r="C228" s="14" t="n">
        <v>160</v>
      </c>
      <c r="D228" s="12" t="s">
        <v>59</v>
      </c>
      <c r="E228" s="15" t="n">
        <v>4.07</v>
      </c>
      <c r="F228" s="15" t="n">
        <v>2.51</v>
      </c>
      <c r="G228" s="15" t="n">
        <v>8.23</v>
      </c>
      <c r="H228" s="16" t="n">
        <f aca="false">C228*G228</f>
        <v>1316.8</v>
      </c>
      <c r="I228" s="16" t="n">
        <f aca="false">E228+F228</f>
        <v>6.58</v>
      </c>
      <c r="J228" s="16" t="n">
        <f aca="false">C228*I228</f>
        <v>1052.8</v>
      </c>
      <c r="K228" s="17" t="n">
        <f aca="false">IF(I228=0,"-",(G228-I228)/I228)</f>
        <v>0.250759878419453</v>
      </c>
    </row>
    <row r="229" customFormat="false" ht="15" hidden="false" customHeight="true" outlineLevel="0" collapsed="false">
      <c r="A229" s="12" t="n">
        <v>165</v>
      </c>
      <c r="B229" s="13" t="s">
        <v>253</v>
      </c>
      <c r="C229" s="14" t="n">
        <v>576</v>
      </c>
      <c r="D229" s="12" t="s">
        <v>59</v>
      </c>
      <c r="E229" s="15" t="n">
        <v>3.76</v>
      </c>
      <c r="F229" s="15" t="n">
        <v>2.19</v>
      </c>
      <c r="G229" s="15" t="n">
        <v>7.38</v>
      </c>
      <c r="H229" s="16" t="n">
        <f aca="false">C229*G229</f>
        <v>4250.88</v>
      </c>
      <c r="I229" s="16" t="n">
        <f aca="false">E229+F229</f>
        <v>5.95</v>
      </c>
      <c r="J229" s="16" t="n">
        <f aca="false">C229*I229</f>
        <v>3427.2</v>
      </c>
      <c r="K229" s="17" t="n">
        <f aca="false">IF(I229=0,"-",(G229-I229)/I229)</f>
        <v>0.240336134453782</v>
      </c>
    </row>
    <row r="230" customFormat="false" ht="15" hidden="false" customHeight="true" outlineLevel="0" collapsed="false">
      <c r="A230" s="12" t="n">
        <v>166</v>
      </c>
      <c r="B230" s="13" t="s">
        <v>254</v>
      </c>
      <c r="C230" s="14" t="n">
        <v>2</v>
      </c>
      <c r="D230" s="12" t="s">
        <v>47</v>
      </c>
      <c r="E230" s="15" t="n">
        <v>46.98</v>
      </c>
      <c r="F230" s="15" t="n">
        <v>25.05</v>
      </c>
      <c r="G230" s="15" t="n">
        <v>99.3</v>
      </c>
      <c r="H230" s="16" t="n">
        <f aca="false">C230*G230</f>
        <v>198.6</v>
      </c>
      <c r="I230" s="16" t="n">
        <f aca="false">E230+F230</f>
        <v>72.03</v>
      </c>
      <c r="J230" s="16" t="n">
        <f aca="false">C230*I230</f>
        <v>144.06</v>
      </c>
      <c r="K230" s="17" t="n">
        <f aca="false">IF(I230=0,"-",(G230-I230)/I230)</f>
        <v>0.378592253227822</v>
      </c>
    </row>
    <row r="231" customFormat="false" ht="15" hidden="false" customHeight="true" outlineLevel="0" collapsed="false">
      <c r="A231" s="18"/>
      <c r="B231" s="18" t="s">
        <v>255</v>
      </c>
      <c r="C231" s="18"/>
      <c r="D231" s="18"/>
      <c r="E231" s="18"/>
      <c r="F231" s="18"/>
      <c r="G231" s="18"/>
      <c r="H231" s="19" t="n">
        <f aca="false">SUM(H226:H230)</f>
        <v>8997.8</v>
      </c>
      <c r="I231" s="18"/>
      <c r="J231" s="19" t="n">
        <f aca="false">SUM(J226:J230)</f>
        <v>7248.86</v>
      </c>
      <c r="K231" s="18"/>
    </row>
    <row r="232" customFormat="false" ht="15" hidden="false" customHeight="false" outlineLevel="0" collapsed="false"/>
    <row r="233" customFormat="false" ht="15" hidden="false" customHeight="true" outlineLevel="0" collapsed="false">
      <c r="A233" s="10"/>
      <c r="B233" s="11" t="s">
        <v>256</v>
      </c>
      <c r="C233" s="11"/>
      <c r="D233" s="11"/>
      <c r="E233" s="11"/>
      <c r="F233" s="11"/>
      <c r="G233" s="11"/>
      <c r="H233" s="11"/>
      <c r="I233" s="11"/>
      <c r="J233" s="11"/>
      <c r="K233" s="11"/>
    </row>
    <row r="234" customFormat="false" ht="15" hidden="false" customHeight="true" outlineLevel="0" collapsed="false">
      <c r="A234" s="12" t="n">
        <v>167</v>
      </c>
      <c r="B234" s="13" t="s">
        <v>257</v>
      </c>
      <c r="C234" s="14" t="n">
        <v>1</v>
      </c>
      <c r="D234" s="12" t="s">
        <v>45</v>
      </c>
      <c r="E234" s="15" t="n">
        <v>250.54</v>
      </c>
      <c r="F234" s="15" t="n">
        <v>751.61</v>
      </c>
      <c r="G234" s="15" t="n">
        <v>1418.64</v>
      </c>
      <c r="H234" s="16" t="n">
        <f aca="false">C234*G234</f>
        <v>1418.64</v>
      </c>
      <c r="I234" s="16" t="n">
        <f aca="false">E234+F234</f>
        <v>1002.15</v>
      </c>
      <c r="J234" s="16" t="n">
        <f aca="false">C234*I234</f>
        <v>1002.15</v>
      </c>
      <c r="K234" s="17" t="n">
        <f aca="false">IF(I234=0,"-",(G234-I234)/I234)</f>
        <v>0.415596467594672</v>
      </c>
    </row>
    <row r="235" customFormat="false" ht="15" hidden="false" customHeight="true" outlineLevel="0" collapsed="false">
      <c r="A235" s="12" t="n">
        <v>168</v>
      </c>
      <c r="B235" s="13" t="s">
        <v>258</v>
      </c>
      <c r="C235" s="14" t="n">
        <v>6000</v>
      </c>
      <c r="D235" s="12" t="s">
        <v>59</v>
      </c>
      <c r="E235" s="15" t="n">
        <v>0.2</v>
      </c>
      <c r="F235" s="15" t="n">
        <v>0.09</v>
      </c>
      <c r="G235" s="15" t="n">
        <v>0.37</v>
      </c>
      <c r="H235" s="16" t="n">
        <f aca="false">C235*G235</f>
        <v>2220</v>
      </c>
      <c r="I235" s="16" t="n">
        <f aca="false">E235+F235</f>
        <v>0.29</v>
      </c>
      <c r="J235" s="16" t="n">
        <f aca="false">C235*I235</f>
        <v>1740</v>
      </c>
      <c r="K235" s="17" t="n">
        <f aca="false">IF(I235=0,"-",(G235-I235)/I235)</f>
        <v>0.275862068965517</v>
      </c>
    </row>
    <row r="236" customFormat="false" ht="15" hidden="false" customHeight="true" outlineLevel="0" collapsed="false">
      <c r="A236" s="12" t="n">
        <v>169</v>
      </c>
      <c r="B236" s="13" t="s">
        <v>259</v>
      </c>
      <c r="C236" s="14" t="n">
        <v>4000</v>
      </c>
      <c r="D236" s="12" t="s">
        <v>59</v>
      </c>
      <c r="E236" s="15" t="n">
        <v>0.05</v>
      </c>
      <c r="F236" s="15" t="n">
        <v>0.03</v>
      </c>
      <c r="G236" s="15" t="n">
        <v>0.1</v>
      </c>
      <c r="H236" s="16" t="n">
        <f aca="false">C236*G236</f>
        <v>400</v>
      </c>
      <c r="I236" s="16" t="n">
        <f aca="false">E236+F236</f>
        <v>0.08</v>
      </c>
      <c r="J236" s="16" t="n">
        <f aca="false">C236*I236</f>
        <v>320</v>
      </c>
      <c r="K236" s="17" t="n">
        <f aca="false">IF(I236=0,"-",(G236-I236)/I236)</f>
        <v>0.25</v>
      </c>
    </row>
    <row r="237" customFormat="false" ht="15" hidden="false" customHeight="true" outlineLevel="0" collapsed="false">
      <c r="A237" s="12" t="n">
        <v>170</v>
      </c>
      <c r="B237" s="13" t="s">
        <v>260</v>
      </c>
      <c r="C237" s="14" t="n">
        <v>3</v>
      </c>
      <c r="D237" s="12" t="s">
        <v>47</v>
      </c>
      <c r="E237" s="15" t="n">
        <v>109.61</v>
      </c>
      <c r="F237" s="15" t="n">
        <v>78.29</v>
      </c>
      <c r="G237" s="15" t="n">
        <v>255.36</v>
      </c>
      <c r="H237" s="16" t="n">
        <f aca="false">C237*G237</f>
        <v>766.08</v>
      </c>
      <c r="I237" s="16" t="n">
        <f aca="false">E237+F237</f>
        <v>187.9</v>
      </c>
      <c r="J237" s="16" t="n">
        <f aca="false">C237*I237</f>
        <v>563.7</v>
      </c>
      <c r="K237" s="17" t="n">
        <f aca="false">IF(I237=0,"-",(G237-I237)/I237)</f>
        <v>0.359020755721128</v>
      </c>
    </row>
    <row r="238" customFormat="false" ht="15" hidden="false" customHeight="true" outlineLevel="0" collapsed="false">
      <c r="A238" s="12" t="n">
        <v>171</v>
      </c>
      <c r="B238" s="13" t="s">
        <v>261</v>
      </c>
      <c r="C238" s="14" t="n">
        <v>1</v>
      </c>
      <c r="D238" s="12" t="s">
        <v>47</v>
      </c>
      <c r="E238" s="15" t="n">
        <v>93.95</v>
      </c>
      <c r="F238" s="15" t="n">
        <v>46.98</v>
      </c>
      <c r="G238" s="15" t="n">
        <v>198.61</v>
      </c>
      <c r="H238" s="16" t="n">
        <f aca="false">C238*G238</f>
        <v>198.61</v>
      </c>
      <c r="I238" s="16" t="n">
        <f aca="false">E238+F238</f>
        <v>140.93</v>
      </c>
      <c r="J238" s="16" t="n">
        <f aca="false">C238*I238</f>
        <v>140.93</v>
      </c>
      <c r="K238" s="17" t="n">
        <f aca="false">IF(I238=0,"-",(G238-I238)/I238)</f>
        <v>0.409281203434329</v>
      </c>
    </row>
    <row r="239" customFormat="false" ht="15" hidden="false" customHeight="true" outlineLevel="0" collapsed="false">
      <c r="A239" s="12" t="n">
        <v>172</v>
      </c>
      <c r="B239" s="13" t="s">
        <v>262</v>
      </c>
      <c r="C239" s="14" t="n">
        <v>1</v>
      </c>
      <c r="D239" s="12" t="s">
        <v>47</v>
      </c>
      <c r="E239" s="15" t="n">
        <v>40.71</v>
      </c>
      <c r="F239" s="15" t="n">
        <v>21.92</v>
      </c>
      <c r="G239" s="15" t="n">
        <v>85.12</v>
      </c>
      <c r="H239" s="16" t="n">
        <f aca="false">C239*G239</f>
        <v>85.12</v>
      </c>
      <c r="I239" s="16" t="n">
        <f aca="false">E239+F239</f>
        <v>62.63</v>
      </c>
      <c r="J239" s="16" t="n">
        <f aca="false">C239*I239</f>
        <v>62.63</v>
      </c>
      <c r="K239" s="17" t="n">
        <f aca="false">IF(I239=0,"-",(G239-I239)/I239)</f>
        <v>0.359093086380329</v>
      </c>
    </row>
    <row r="240" customFormat="false" ht="15" hidden="false" customHeight="true" outlineLevel="0" collapsed="false">
      <c r="A240" s="18"/>
      <c r="B240" s="18" t="s">
        <v>263</v>
      </c>
      <c r="C240" s="18"/>
      <c r="D240" s="18"/>
      <c r="E240" s="18"/>
      <c r="F240" s="18"/>
      <c r="G240" s="18"/>
      <c r="H240" s="19" t="n">
        <f aca="false">SUM(H234:H239)</f>
        <v>5088.45</v>
      </c>
      <c r="I240" s="18"/>
      <c r="J240" s="19" t="n">
        <f aca="false">SUM(J234:J239)</f>
        <v>3829.41</v>
      </c>
      <c r="K240" s="18"/>
    </row>
    <row r="241" customFormat="false" ht="15" hidden="false" customHeight="false" outlineLevel="0" collapsed="false"/>
    <row r="242" customFormat="false" ht="15" hidden="false" customHeight="true" outlineLevel="0" collapsed="false">
      <c r="A242" s="10"/>
      <c r="B242" s="11" t="s">
        <v>264</v>
      </c>
      <c r="C242" s="11"/>
      <c r="D242" s="11"/>
      <c r="E242" s="11"/>
      <c r="F242" s="11"/>
      <c r="G242" s="11"/>
      <c r="H242" s="11"/>
      <c r="I242" s="11"/>
      <c r="J242" s="11"/>
      <c r="K242" s="11"/>
    </row>
    <row r="243" customFormat="false" ht="15" hidden="false" customHeight="true" outlineLevel="0" collapsed="false">
      <c r="A243" s="12" t="n">
        <v>173</v>
      </c>
      <c r="B243" s="13" t="s">
        <v>265</v>
      </c>
      <c r="C243" s="14" t="n">
        <v>10</v>
      </c>
      <c r="D243" s="12" t="s">
        <v>47</v>
      </c>
      <c r="E243" s="15" t="n">
        <v>0</v>
      </c>
      <c r="F243" s="15" t="n">
        <v>125.27</v>
      </c>
      <c r="G243" s="15" t="n">
        <v>184.42</v>
      </c>
      <c r="H243" s="16" t="n">
        <f aca="false">C243*G243</f>
        <v>1844.2</v>
      </c>
      <c r="I243" s="16" t="n">
        <f aca="false">E243+F243</f>
        <v>125.27</v>
      </c>
      <c r="J243" s="16" t="n">
        <f aca="false">C243*I243</f>
        <v>1252.7</v>
      </c>
      <c r="K243" s="17" t="n">
        <f aca="false">IF(I243=0,"-",(G243-I243)/I243)</f>
        <v>0.472180091003433</v>
      </c>
    </row>
    <row r="244" customFormat="false" ht="15" hidden="false" customHeight="true" outlineLevel="0" collapsed="false">
      <c r="A244" s="12" t="n">
        <v>174</v>
      </c>
      <c r="B244" s="13" t="s">
        <v>266</v>
      </c>
      <c r="C244" s="14" t="n">
        <v>1</v>
      </c>
      <c r="D244" s="12" t="s">
        <v>45</v>
      </c>
      <c r="E244" s="15" t="n">
        <v>125.27</v>
      </c>
      <c r="F244" s="15" t="n">
        <v>751.61</v>
      </c>
      <c r="G244" s="15" t="n">
        <v>1134.91</v>
      </c>
      <c r="H244" s="16" t="n">
        <f aca="false">C244*G244</f>
        <v>1134.91</v>
      </c>
      <c r="I244" s="16" t="n">
        <f aca="false">E244+F244</f>
        <v>876.88</v>
      </c>
      <c r="J244" s="16" t="n">
        <f aca="false">C244*I244</f>
        <v>876.88</v>
      </c>
      <c r="K244" s="17" t="n">
        <f aca="false">IF(I244=0,"-",(G244-I244)/I244)</f>
        <v>0.294259191679591</v>
      </c>
    </row>
    <row r="245" customFormat="false" ht="15" hidden="false" customHeight="true" outlineLevel="0" collapsed="false">
      <c r="A245" s="12" t="n">
        <v>175</v>
      </c>
      <c r="B245" s="13" t="s">
        <v>267</v>
      </c>
      <c r="C245" s="14" t="n">
        <v>1</v>
      </c>
      <c r="D245" s="12" t="s">
        <v>45</v>
      </c>
      <c r="E245" s="15" t="n">
        <v>0</v>
      </c>
      <c r="F245" s="15" t="n">
        <v>219.22</v>
      </c>
      <c r="G245" s="15" t="n">
        <v>283.73</v>
      </c>
      <c r="H245" s="16" t="n">
        <f aca="false">C245*G245</f>
        <v>283.73</v>
      </c>
      <c r="I245" s="16" t="n">
        <f aca="false">E245+F245</f>
        <v>219.22</v>
      </c>
      <c r="J245" s="16" t="n">
        <f aca="false">C245*I245</f>
        <v>219.22</v>
      </c>
      <c r="K245" s="17" t="n">
        <f aca="false">IF(I245=0,"-",(G245-I245)/I245)</f>
        <v>0.294270595748563</v>
      </c>
    </row>
    <row r="246" customFormat="false" ht="15" hidden="false" customHeight="true" outlineLevel="0" collapsed="false">
      <c r="A246" s="12" t="n">
        <v>176</v>
      </c>
      <c r="B246" s="13" t="s">
        <v>268</v>
      </c>
      <c r="C246" s="14" t="n">
        <v>40</v>
      </c>
      <c r="D246" s="12" t="s">
        <v>269</v>
      </c>
      <c r="E246" s="15" t="n">
        <v>0</v>
      </c>
      <c r="F246" s="15" t="n">
        <v>21.92</v>
      </c>
      <c r="G246" s="15" t="n">
        <v>31.21</v>
      </c>
      <c r="H246" s="16" t="n">
        <f aca="false">C246*G246</f>
        <v>1248.4</v>
      </c>
      <c r="I246" s="16" t="n">
        <f aca="false">E246+F246</f>
        <v>21.92</v>
      </c>
      <c r="J246" s="16" t="n">
        <f aca="false">C246*I246</f>
        <v>876.8</v>
      </c>
      <c r="K246" s="17" t="n">
        <f aca="false">IF(I246=0,"-",(G246-I246)/I246)</f>
        <v>0.423813868613139</v>
      </c>
    </row>
    <row r="247" customFormat="false" ht="15" hidden="false" customHeight="true" outlineLevel="0" collapsed="false">
      <c r="A247" s="12" t="n">
        <v>177</v>
      </c>
      <c r="B247" s="13" t="s">
        <v>270</v>
      </c>
      <c r="C247" s="14" t="n">
        <v>6</v>
      </c>
      <c r="D247" s="12" t="s">
        <v>47</v>
      </c>
      <c r="E247" s="15" t="n">
        <v>344.49</v>
      </c>
      <c r="F247" s="15" t="n">
        <v>0</v>
      </c>
      <c r="G247" s="15" t="n">
        <v>397.22</v>
      </c>
      <c r="H247" s="16" t="n">
        <f aca="false">C247*G247</f>
        <v>2383.32</v>
      </c>
      <c r="I247" s="16" t="n">
        <f aca="false">E247+F247</f>
        <v>344.49</v>
      </c>
      <c r="J247" s="16" t="n">
        <f aca="false">C247*I247</f>
        <v>2066.94</v>
      </c>
      <c r="K247" s="17" t="n">
        <f aca="false">IF(I247=0,"-",(G247-I247)/I247)</f>
        <v>0.153066852448547</v>
      </c>
    </row>
    <row r="248" customFormat="false" ht="15" hidden="false" customHeight="true" outlineLevel="0" collapsed="false">
      <c r="A248" s="12" t="n">
        <v>178</v>
      </c>
      <c r="B248" s="13" t="s">
        <v>271</v>
      </c>
      <c r="C248" s="14" t="n">
        <v>1</v>
      </c>
      <c r="D248" s="12" t="s">
        <v>45</v>
      </c>
      <c r="E248" s="15" t="n">
        <v>501.07</v>
      </c>
      <c r="F248" s="15" t="n">
        <v>0</v>
      </c>
      <c r="G248" s="15" t="n">
        <v>680.95</v>
      </c>
      <c r="H248" s="16" t="n">
        <f aca="false">C248*G248</f>
        <v>680.95</v>
      </c>
      <c r="I248" s="16" t="n">
        <f aca="false">E248+F248</f>
        <v>501.07</v>
      </c>
      <c r="J248" s="16" t="n">
        <f aca="false">C248*I248</f>
        <v>501.07</v>
      </c>
      <c r="K248" s="17" t="n">
        <f aca="false">IF(I248=0,"-",(G248-I248)/I248)</f>
        <v>0.358991757638653</v>
      </c>
    </row>
    <row r="249" customFormat="false" ht="15" hidden="false" customHeight="true" outlineLevel="0" collapsed="false">
      <c r="A249" s="18"/>
      <c r="B249" s="18" t="s">
        <v>272</v>
      </c>
      <c r="C249" s="18"/>
      <c r="D249" s="18"/>
      <c r="E249" s="18"/>
      <c r="F249" s="18"/>
      <c r="G249" s="18"/>
      <c r="H249" s="19" t="n">
        <f aca="false">SUM(H243:H248)</f>
        <v>7575.51</v>
      </c>
      <c r="I249" s="18"/>
      <c r="J249" s="19" t="n">
        <f aca="false">SUM(J243:J248)</f>
        <v>5793.61</v>
      </c>
      <c r="K249" s="18"/>
    </row>
    <row r="251" customFormat="false" ht="15" hidden="false" customHeight="true" outlineLevel="0" collapsed="false">
      <c r="A251" s="18"/>
      <c r="B251" s="18" t="s">
        <v>273</v>
      </c>
      <c r="C251" s="18"/>
      <c r="D251" s="18"/>
      <c r="E251" s="18"/>
      <c r="F251" s="18"/>
      <c r="G251" s="18"/>
      <c r="H251" s="19" t="n">
        <f aca="false">H26+H47+H60+H73+H85+H96+H105+H115+H127+H142+H153+H161+H179+H190+H207+H215+H223+H231+H240+H249</f>
        <v>365623.5</v>
      </c>
      <c r="I251" s="18"/>
      <c r="J251" s="19" t="n">
        <f aca="false">J26+J47+J60+J73+J85+J96+J105+J115+J127+J142+J153+J161+J179+J190+J207+J215+J223+J231+J240+J249</f>
        <v>285184.36</v>
      </c>
      <c r="K251" s="18"/>
    </row>
    <row r="252" customFormat="false" ht="15" hidden="false" customHeight="true" outlineLevel="0" collapsed="false">
      <c r="B252" s="4" t="s">
        <v>274</v>
      </c>
      <c r="H252" s="20" t="n">
        <f aca="false">H251*0.08</f>
        <v>29249.88</v>
      </c>
    </row>
    <row r="253" customFormat="false" ht="15" hidden="false" customHeight="true" outlineLevel="0" collapsed="false">
      <c r="B253" s="4" t="s">
        <v>275</v>
      </c>
      <c r="H253" s="20" t="n">
        <f aca="false">H251*0.05</f>
        <v>18281.175</v>
      </c>
    </row>
    <row r="254" customFormat="false" ht="15" hidden="false" customHeight="true" outlineLevel="0" collapsed="false">
      <c r="B254" s="4" t="s">
        <v>276</v>
      </c>
      <c r="H254" s="20" t="n">
        <f aca="false">H251*0.07</f>
        <v>25593.645</v>
      </c>
    </row>
    <row r="255" customFormat="false" ht="15" hidden="false" customHeight="true" outlineLevel="0" collapsed="false">
      <c r="A255" s="21"/>
      <c r="B255" s="21" t="s">
        <v>277</v>
      </c>
      <c r="C255" s="21"/>
      <c r="D255" s="21"/>
      <c r="E255" s="21"/>
      <c r="F255" s="21"/>
      <c r="G255" s="21"/>
      <c r="H255" s="22" t="n">
        <f aca="false">H251+H252+H253+H254</f>
        <v>438748.2</v>
      </c>
      <c r="I255" s="21"/>
      <c r="J255" s="22" t="n">
        <f aca="false">J251</f>
        <v>285184.36</v>
      </c>
      <c r="K255" s="21"/>
    </row>
    <row r="257" customFormat="false" ht="15" hidden="false" customHeight="true" outlineLevel="0" collapsed="false">
      <c r="B257" s="23" t="s">
        <v>278</v>
      </c>
    </row>
    <row r="258" customFormat="false" ht="15" hidden="false" customHeight="true" outlineLevel="0" collapsed="false">
      <c r="B258" s="4" t="s">
        <v>279</v>
      </c>
      <c r="D258" s="24" t="n">
        <f aca="false">H255</f>
        <v>438748.2</v>
      </c>
    </row>
    <row r="259" customFormat="false" ht="15" hidden="false" customHeight="true" outlineLevel="0" collapsed="false">
      <c r="B259" s="4" t="s">
        <v>280</v>
      </c>
      <c r="D259" s="25" t="n">
        <f aca="false">J255</f>
        <v>285184.36</v>
      </c>
    </row>
    <row r="260" customFormat="false" ht="15" hidden="false" customHeight="true" outlineLevel="0" collapsed="false">
      <c r="B260" s="4" t="s">
        <v>281</v>
      </c>
      <c r="D260" s="26" t="n">
        <f aca="false">H255-J255</f>
        <v>153563.84</v>
      </c>
    </row>
    <row r="261" customFormat="false" ht="15" hidden="false" customHeight="true" outlineLevel="0" collapsed="false">
      <c r="B261" s="4" t="s">
        <v>282</v>
      </c>
      <c r="D261" s="27" t="n">
        <f aca="false">(H255-J255)/H255</f>
        <v>0.350004490046911</v>
      </c>
    </row>
    <row r="262" customFormat="false" ht="15" hidden="false" customHeight="true" outlineLevel="0" collapsed="false">
      <c r="B262" s="4"/>
      <c r="D262" s="28"/>
    </row>
    <row r="263" customFormat="false" ht="15" hidden="false" customHeight="true" outlineLevel="0" collapsed="false">
      <c r="B263" s="4" t="s">
        <v>283</v>
      </c>
      <c r="D263" s="29" t="n">
        <v>2250</v>
      </c>
    </row>
    <row r="264" customFormat="false" ht="17.25" hidden="false" customHeight="true" outlineLevel="0" collapsed="false">
      <c r="B264" s="4" t="s">
        <v>284</v>
      </c>
      <c r="D264" s="30" t="n">
        <f aca="false">H255/2250</f>
        <v>194.9992</v>
      </c>
    </row>
    <row r="265" customFormat="false" ht="15" hidden="false" customHeight="true" outlineLevel="0" collapsed="false">
      <c r="B265" s="4" t="s">
        <v>285</v>
      </c>
      <c r="D265" s="28" t="s">
        <v>13</v>
      </c>
    </row>
    <row r="266" customFormat="false" ht="15" hidden="false" customHeight="true" outlineLevel="0" collapsed="false">
      <c r="B266" s="4" t="s">
        <v>286</v>
      </c>
      <c r="D266" s="31" t="str">
        <f aca="false">IF(AND(D264&gt;=185,D264&lt;=205),"IN RANGE ✓","OUT OF RANGE — ADJUST")</f>
        <v>IN RANGE ✓</v>
      </c>
    </row>
  </sheetData>
  <mergeCells count="38">
    <mergeCell ref="A1:K1"/>
    <mergeCell ref="A2:K2"/>
    <mergeCell ref="B3:D3"/>
    <mergeCell ref="G3:I3"/>
    <mergeCell ref="B4:D4"/>
    <mergeCell ref="G4:I4"/>
    <mergeCell ref="B5:D5"/>
    <mergeCell ref="G5:I5"/>
    <mergeCell ref="B6:D6"/>
    <mergeCell ref="G6:I6"/>
    <mergeCell ref="B7:D7"/>
    <mergeCell ref="G7:I7"/>
    <mergeCell ref="B8:D8"/>
    <mergeCell ref="G8:I8"/>
    <mergeCell ref="B9:D9"/>
    <mergeCell ref="G9:I9"/>
    <mergeCell ref="E12:F12"/>
    <mergeCell ref="I12:J12"/>
    <mergeCell ref="B13:K13"/>
    <mergeCell ref="B28:K28"/>
    <mergeCell ref="B49:K49"/>
    <mergeCell ref="B62:K62"/>
    <mergeCell ref="B75:K75"/>
    <mergeCell ref="B87:K87"/>
    <mergeCell ref="B98:K98"/>
    <mergeCell ref="B107:K107"/>
    <mergeCell ref="B117:K117"/>
    <mergeCell ref="B129:K129"/>
    <mergeCell ref="B144:K144"/>
    <mergeCell ref="B155:K155"/>
    <mergeCell ref="B163:K163"/>
    <mergeCell ref="B181:K181"/>
    <mergeCell ref="B192:K192"/>
    <mergeCell ref="B209:K209"/>
    <mergeCell ref="B217:K217"/>
    <mergeCell ref="B225:K225"/>
    <mergeCell ref="B233:K233"/>
    <mergeCell ref="B242:K2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2026-03-10T16:45:23Z</dcterms:created>
  <dc:creator>openpyxl</dc:creator>
  <dc:description/>
  <dc:language>en-US</dc:language>
  <cp:lastModifiedBy/>
  <dcterms:modified xsi:type="dcterms:W3CDTF">2026-03-10T16:49:58Z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